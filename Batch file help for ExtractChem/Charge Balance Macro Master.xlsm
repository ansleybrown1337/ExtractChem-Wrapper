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d62234183fd3ba/Ph. D. Dissertation/Fairmont District Data/Soils Data/Soil Fertility Data/ECe v. SSAT/CORRECTED 2020/"/>
    </mc:Choice>
  </mc:AlternateContent>
  <xr:revisionPtr revIDLastSave="367" documentId="8_{FA3CE0DF-0543-4A84-BE1C-59BADB0F2B45}" xr6:coauthVersionLast="45" xr6:coauthVersionMax="45" xr10:uidLastSave="{79E47567-2FE8-4C90-9E85-33A8A19D5CDB}"/>
  <bookViews>
    <workbookView xWindow="-98" yWindow="-98" windowWidth="19396" windowHeight="10395" activeTab="2" xr2:uid="{E6219AD6-F102-4438-B3A3-23A7FA8B7E1A}"/>
  </bookViews>
  <sheets>
    <sheet name="KEY" sheetId="1" r:id="rId1"/>
    <sheet name="SSAT" sheetId="4" r:id="rId2"/>
    <sheet name="Paste" sheetId="8" r:id="rId3"/>
  </sheets>
  <definedNames>
    <definedName name="solver_adj" localSheetId="0" hidden="1">KEY!$L$4</definedName>
    <definedName name="solver_adj" localSheetId="2" hidden="1">Paste!$Q$58</definedName>
    <definedName name="solver_adj" localSheetId="1" hidden="1">SSAT!$P$58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0" hidden="1">2147483647</definedName>
    <definedName name="solver_itr" localSheetId="2" hidden="1">2147483647</definedName>
    <definedName name="solver_itr" localSheetId="1" hidden="1">2147483647</definedName>
    <definedName name="solver_mip" localSheetId="0" hidden="1">2147483647</definedName>
    <definedName name="solver_mip" localSheetId="2" hidden="1">2147483647</definedName>
    <definedName name="solver_mip" localSheetId="1" hidden="1">2147483647</definedName>
    <definedName name="solver_mni" localSheetId="0" hidden="1">30</definedName>
    <definedName name="solver_mni" localSheetId="2" hidden="1">30</definedName>
    <definedName name="solver_mni" localSheetId="1" hidden="1">30</definedName>
    <definedName name="solver_mrt" localSheetId="0" hidden="1">0.075</definedName>
    <definedName name="solver_mrt" localSheetId="2" hidden="1">0.075</definedName>
    <definedName name="solver_mrt" localSheetId="1" hidden="1">0.075</definedName>
    <definedName name="solver_msl" localSheetId="0" hidden="1">2</definedName>
    <definedName name="solver_msl" localSheetId="2" hidden="1">2</definedName>
    <definedName name="solver_msl" localSheetId="1" hidden="1">2</definedName>
    <definedName name="solver_neg" localSheetId="0" hidden="1">1</definedName>
    <definedName name="solver_neg" localSheetId="2" hidden="1">2</definedName>
    <definedName name="solver_neg" localSheetId="1" hidden="1">2</definedName>
    <definedName name="solver_nod" localSheetId="0" hidden="1">2147483647</definedName>
    <definedName name="solver_nod" localSheetId="2" hidden="1">2147483647</definedName>
    <definedName name="solver_nod" localSheetId="1" hidden="1">2147483647</definedName>
    <definedName name="solver_num" localSheetId="0" hidden="1">0</definedName>
    <definedName name="solver_num" localSheetId="2" hidden="1">0</definedName>
    <definedName name="solver_num" localSheetId="1" hidden="1">0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0" hidden="1">KEY!$T$4</definedName>
    <definedName name="solver_opt" localSheetId="2" hidden="1">Paste!$Z$58</definedName>
    <definedName name="solver_opt" localSheetId="1" hidden="1">SSAT!$Y$58</definedName>
    <definedName name="solver_pre" localSheetId="0" hidden="1">0.000001</definedName>
    <definedName name="solver_pre" localSheetId="2" hidden="1">0.00000001</definedName>
    <definedName name="solver_pre" localSheetId="1" hidden="1">0.00000001</definedName>
    <definedName name="solver_rbv" localSheetId="0" hidden="1">1</definedName>
    <definedName name="solver_rbv" localSheetId="2" hidden="1">1</definedName>
    <definedName name="solver_rbv" localSheetId="1" hidden="1">1</definedName>
    <definedName name="solver_rlx" localSheetId="0" hidden="1">2</definedName>
    <definedName name="solver_rlx" localSheetId="2" hidden="1">2</definedName>
    <definedName name="solver_rlx" localSheetId="1" hidden="1">2</definedName>
    <definedName name="solver_rsd" localSheetId="0" hidden="1">0</definedName>
    <definedName name="solver_rsd" localSheetId="2" hidden="1">0</definedName>
    <definedName name="solver_rsd" localSheetId="1" hidden="1">0</definedName>
    <definedName name="solver_scl" localSheetId="0" hidden="1">1</definedName>
    <definedName name="solver_scl" localSheetId="2" hidden="1">1</definedName>
    <definedName name="solver_scl" localSheetId="1" hidden="1">1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sz" localSheetId="0" hidden="1">100</definedName>
    <definedName name="solver_ssz" localSheetId="2" hidden="1">100</definedName>
    <definedName name="solver_ssz" localSheetId="1" hidden="1">100</definedName>
    <definedName name="solver_tim" localSheetId="0" hidden="1">2147483647</definedName>
    <definedName name="solver_tim" localSheetId="2" hidden="1">2147483647</definedName>
    <definedName name="solver_tim" localSheetId="1" hidden="1">2147483647</definedName>
    <definedName name="solver_tol" localSheetId="0" hidden="1">0.01</definedName>
    <definedName name="solver_tol" localSheetId="2" hidden="1">0.01</definedName>
    <definedName name="solver_tol" localSheetId="1" hidden="1">0.01</definedName>
    <definedName name="solver_typ" localSheetId="0" hidden="1">3</definedName>
    <definedName name="solver_typ" localSheetId="2" hidden="1">3</definedName>
    <definedName name="solver_typ" localSheetId="1" hidden="1">3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er" localSheetId="0" hidden="1">3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60" i="8" l="1"/>
  <c r="AL60" i="8"/>
  <c r="AM60" i="8"/>
  <c r="AN60" i="8"/>
  <c r="AO60" i="8"/>
  <c r="AP60" i="8"/>
  <c r="AQ60" i="8"/>
  <c r="AJ60" i="8"/>
  <c r="AJ58" i="8"/>
  <c r="AK58" i="8"/>
  <c r="AN5" i="8"/>
  <c r="AO5" i="8"/>
  <c r="AP5" i="8"/>
  <c r="AQ5" i="8"/>
  <c r="AN6" i="8"/>
  <c r="AO6" i="8"/>
  <c r="AP6" i="8"/>
  <c r="AQ6" i="8"/>
  <c r="AN7" i="8"/>
  <c r="AO7" i="8"/>
  <c r="AP7" i="8"/>
  <c r="AQ7" i="8"/>
  <c r="AN8" i="8"/>
  <c r="AO8" i="8"/>
  <c r="AP8" i="8"/>
  <c r="AQ8" i="8"/>
  <c r="AN9" i="8"/>
  <c r="AO9" i="8"/>
  <c r="AP9" i="8"/>
  <c r="AQ9" i="8"/>
  <c r="AN10" i="8"/>
  <c r="AO10" i="8"/>
  <c r="AP10" i="8"/>
  <c r="AQ10" i="8"/>
  <c r="AN11" i="8"/>
  <c r="AO11" i="8"/>
  <c r="AP11" i="8"/>
  <c r="AQ11" i="8"/>
  <c r="AN12" i="8"/>
  <c r="AO12" i="8"/>
  <c r="AP12" i="8"/>
  <c r="AQ12" i="8"/>
  <c r="AN13" i="8"/>
  <c r="AO13" i="8"/>
  <c r="AP13" i="8"/>
  <c r="AQ13" i="8"/>
  <c r="AN14" i="8"/>
  <c r="AO14" i="8"/>
  <c r="AP14" i="8"/>
  <c r="AQ14" i="8"/>
  <c r="AN15" i="8"/>
  <c r="AO15" i="8"/>
  <c r="AP15" i="8"/>
  <c r="AQ15" i="8"/>
  <c r="AN16" i="8"/>
  <c r="AO16" i="8"/>
  <c r="AP16" i="8"/>
  <c r="AQ16" i="8"/>
  <c r="AN17" i="8"/>
  <c r="AO17" i="8"/>
  <c r="AP17" i="8"/>
  <c r="AQ17" i="8"/>
  <c r="AN18" i="8"/>
  <c r="AO18" i="8"/>
  <c r="AP18" i="8"/>
  <c r="AQ18" i="8"/>
  <c r="AN19" i="8"/>
  <c r="AO19" i="8"/>
  <c r="AP19" i="8"/>
  <c r="AQ19" i="8"/>
  <c r="AN20" i="8"/>
  <c r="AO20" i="8"/>
  <c r="AP20" i="8"/>
  <c r="AQ20" i="8"/>
  <c r="AN21" i="8"/>
  <c r="AO21" i="8"/>
  <c r="AP21" i="8"/>
  <c r="AQ21" i="8"/>
  <c r="AN22" i="8"/>
  <c r="AO22" i="8"/>
  <c r="AP22" i="8"/>
  <c r="AQ22" i="8"/>
  <c r="AN23" i="8"/>
  <c r="AO23" i="8"/>
  <c r="AP23" i="8"/>
  <c r="AQ23" i="8"/>
  <c r="AN24" i="8"/>
  <c r="AO24" i="8"/>
  <c r="AP24" i="8"/>
  <c r="AQ24" i="8"/>
  <c r="AN25" i="8"/>
  <c r="AO25" i="8"/>
  <c r="AP25" i="8"/>
  <c r="AQ25" i="8"/>
  <c r="AN26" i="8"/>
  <c r="AO26" i="8"/>
  <c r="AP26" i="8"/>
  <c r="AQ26" i="8"/>
  <c r="AN27" i="8"/>
  <c r="AO27" i="8"/>
  <c r="AP27" i="8"/>
  <c r="AQ27" i="8"/>
  <c r="AN28" i="8"/>
  <c r="AO28" i="8"/>
  <c r="AP28" i="8"/>
  <c r="AQ28" i="8"/>
  <c r="AN29" i="8"/>
  <c r="AO29" i="8"/>
  <c r="AP29" i="8"/>
  <c r="AQ29" i="8"/>
  <c r="AN30" i="8"/>
  <c r="AO30" i="8"/>
  <c r="AP30" i="8"/>
  <c r="AQ30" i="8"/>
  <c r="AN31" i="8"/>
  <c r="AO31" i="8"/>
  <c r="AP31" i="8"/>
  <c r="AQ31" i="8"/>
  <c r="AN32" i="8"/>
  <c r="AO32" i="8"/>
  <c r="AP32" i="8"/>
  <c r="AQ32" i="8"/>
  <c r="AN33" i="8"/>
  <c r="AO33" i="8"/>
  <c r="AP33" i="8"/>
  <c r="AQ33" i="8"/>
  <c r="AN34" i="8"/>
  <c r="AO34" i="8"/>
  <c r="AP34" i="8"/>
  <c r="AQ34" i="8"/>
  <c r="AN35" i="8"/>
  <c r="AO35" i="8"/>
  <c r="AP35" i="8"/>
  <c r="AQ35" i="8"/>
  <c r="AN36" i="8"/>
  <c r="AO36" i="8"/>
  <c r="AP36" i="8"/>
  <c r="AQ36" i="8"/>
  <c r="AN37" i="8"/>
  <c r="AO37" i="8"/>
  <c r="AP37" i="8"/>
  <c r="AQ37" i="8"/>
  <c r="AN38" i="8"/>
  <c r="AO38" i="8"/>
  <c r="AP38" i="8"/>
  <c r="AQ38" i="8"/>
  <c r="AN39" i="8"/>
  <c r="AO39" i="8"/>
  <c r="AP39" i="8"/>
  <c r="AQ39" i="8"/>
  <c r="AN40" i="8"/>
  <c r="AO40" i="8"/>
  <c r="AP40" i="8"/>
  <c r="AQ40" i="8"/>
  <c r="AN41" i="8"/>
  <c r="AO41" i="8"/>
  <c r="AP41" i="8"/>
  <c r="AQ41" i="8"/>
  <c r="AN42" i="8"/>
  <c r="AO42" i="8"/>
  <c r="AP42" i="8"/>
  <c r="AQ42" i="8"/>
  <c r="AN43" i="8"/>
  <c r="AO43" i="8"/>
  <c r="AP43" i="8"/>
  <c r="AQ43" i="8"/>
  <c r="AN44" i="8"/>
  <c r="AO44" i="8"/>
  <c r="AP44" i="8"/>
  <c r="AQ44" i="8"/>
  <c r="AN45" i="8"/>
  <c r="AO45" i="8"/>
  <c r="AP45" i="8"/>
  <c r="AQ45" i="8"/>
  <c r="AN46" i="8"/>
  <c r="AO46" i="8"/>
  <c r="AP46" i="8"/>
  <c r="AQ46" i="8"/>
  <c r="AN47" i="8"/>
  <c r="AO47" i="8"/>
  <c r="AP47" i="8"/>
  <c r="AQ47" i="8"/>
  <c r="AN48" i="8"/>
  <c r="AO48" i="8"/>
  <c r="AP48" i="8"/>
  <c r="AQ48" i="8"/>
  <c r="AN49" i="8"/>
  <c r="AO49" i="8"/>
  <c r="AP49" i="8"/>
  <c r="AQ49" i="8"/>
  <c r="AN50" i="8"/>
  <c r="AO50" i="8"/>
  <c r="AP50" i="8"/>
  <c r="AQ50" i="8"/>
  <c r="AN51" i="8"/>
  <c r="AO51" i="8"/>
  <c r="AP51" i="8"/>
  <c r="AQ51" i="8"/>
  <c r="AN52" i="8"/>
  <c r="AO52" i="8"/>
  <c r="AP52" i="8"/>
  <c r="AQ52" i="8"/>
  <c r="AN53" i="8"/>
  <c r="AO53" i="8"/>
  <c r="AP53" i="8"/>
  <c r="AQ53" i="8"/>
  <c r="AN54" i="8"/>
  <c r="AO54" i="8"/>
  <c r="AP54" i="8"/>
  <c r="AQ54" i="8"/>
  <c r="AN55" i="8"/>
  <c r="AO55" i="8"/>
  <c r="AP55" i="8"/>
  <c r="AQ55" i="8"/>
  <c r="AN56" i="8"/>
  <c r="AO56" i="8"/>
  <c r="AP56" i="8"/>
  <c r="AQ56" i="8"/>
  <c r="AN57" i="8"/>
  <c r="AO57" i="8"/>
  <c r="AP57" i="8"/>
  <c r="AQ57" i="8"/>
  <c r="AN58" i="8"/>
  <c r="AO58" i="8"/>
  <c r="AP58" i="8"/>
  <c r="AQ58" i="8"/>
  <c r="AQ4" i="8"/>
  <c r="AP4" i="8"/>
  <c r="AO4" i="8"/>
  <c r="AN4" i="8"/>
  <c r="U11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L24" i="8"/>
  <c r="AL25" i="8"/>
  <c r="AL26" i="8"/>
  <c r="AL27" i="8"/>
  <c r="AL28" i="8"/>
  <c r="AL29" i="8"/>
  <c r="AL30" i="8"/>
  <c r="AL31" i="8"/>
  <c r="AL32" i="8"/>
  <c r="AL33" i="8"/>
  <c r="AL34" i="8"/>
  <c r="AL35" i="8"/>
  <c r="AL36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L49" i="8"/>
  <c r="AL50" i="8"/>
  <c r="AL51" i="8"/>
  <c r="AL52" i="8"/>
  <c r="AL53" i="8"/>
  <c r="AL54" i="8"/>
  <c r="AL55" i="8"/>
  <c r="AL56" i="8"/>
  <c r="AL57" i="8"/>
  <c r="AL58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4" i="8"/>
  <c r="AL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4" i="8"/>
  <c r="AE6" i="8" l="1"/>
  <c r="O5" i="8" l="1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4" i="8"/>
  <c r="N4" i="8" l="1"/>
  <c r="X4" i="8" s="1"/>
  <c r="AF4" i="8" s="1"/>
  <c r="N58" i="8"/>
  <c r="Y58" i="8" s="1"/>
  <c r="AI58" i="8" s="1"/>
  <c r="I58" i="8"/>
  <c r="U58" i="8" s="1"/>
  <c r="AE58" i="8" s="1"/>
  <c r="N57" i="8"/>
  <c r="Y57" i="8" s="1"/>
  <c r="AI57" i="8" s="1"/>
  <c r="I57" i="8"/>
  <c r="U57" i="8" s="1"/>
  <c r="AE57" i="8" s="1"/>
  <c r="N56" i="8"/>
  <c r="Y56" i="8" s="1"/>
  <c r="AI56" i="8" s="1"/>
  <c r="I56" i="8"/>
  <c r="U56" i="8" s="1"/>
  <c r="AE56" i="8" s="1"/>
  <c r="N55" i="8"/>
  <c r="Y55" i="8" s="1"/>
  <c r="AI55" i="8" s="1"/>
  <c r="I55" i="8"/>
  <c r="U55" i="8" s="1"/>
  <c r="AE55" i="8" s="1"/>
  <c r="N54" i="8"/>
  <c r="Y54" i="8" s="1"/>
  <c r="AI54" i="8" s="1"/>
  <c r="I54" i="8"/>
  <c r="U54" i="8" s="1"/>
  <c r="AE54" i="8" s="1"/>
  <c r="N53" i="8"/>
  <c r="Y53" i="8" s="1"/>
  <c r="AI53" i="8" s="1"/>
  <c r="I53" i="8"/>
  <c r="U53" i="8" s="1"/>
  <c r="AE53" i="8" s="1"/>
  <c r="N52" i="8"/>
  <c r="Y52" i="8" s="1"/>
  <c r="AI52" i="8" s="1"/>
  <c r="I52" i="8"/>
  <c r="U52" i="8" s="1"/>
  <c r="AE52" i="8" s="1"/>
  <c r="N51" i="8"/>
  <c r="Y51" i="8" s="1"/>
  <c r="AI51" i="8" s="1"/>
  <c r="I51" i="8"/>
  <c r="U51" i="8" s="1"/>
  <c r="AE51" i="8" s="1"/>
  <c r="N50" i="8"/>
  <c r="Y50" i="8" s="1"/>
  <c r="AI50" i="8" s="1"/>
  <c r="I50" i="8"/>
  <c r="U50" i="8" s="1"/>
  <c r="AE50" i="8" s="1"/>
  <c r="N49" i="8"/>
  <c r="Y49" i="8" s="1"/>
  <c r="AI49" i="8" s="1"/>
  <c r="I49" i="8"/>
  <c r="U49" i="8" s="1"/>
  <c r="AE49" i="8" s="1"/>
  <c r="N48" i="8"/>
  <c r="Y48" i="8" s="1"/>
  <c r="AI48" i="8" s="1"/>
  <c r="I48" i="8"/>
  <c r="U48" i="8" s="1"/>
  <c r="AE48" i="8" s="1"/>
  <c r="N47" i="8"/>
  <c r="Y47" i="8" s="1"/>
  <c r="AI47" i="8" s="1"/>
  <c r="I47" i="8"/>
  <c r="U47" i="8" s="1"/>
  <c r="AE47" i="8" s="1"/>
  <c r="R46" i="8"/>
  <c r="AB46" i="8" s="1"/>
  <c r="N46" i="8"/>
  <c r="Y46" i="8" s="1"/>
  <c r="AI46" i="8" s="1"/>
  <c r="I46" i="8"/>
  <c r="U46" i="8" s="1"/>
  <c r="AE46" i="8" s="1"/>
  <c r="N45" i="8"/>
  <c r="Y45" i="8" s="1"/>
  <c r="AI45" i="8" s="1"/>
  <c r="I45" i="8"/>
  <c r="U45" i="8" s="1"/>
  <c r="AE45" i="8" s="1"/>
  <c r="N44" i="8"/>
  <c r="Y44" i="8" s="1"/>
  <c r="AI44" i="8" s="1"/>
  <c r="I44" i="8"/>
  <c r="U44" i="8" s="1"/>
  <c r="AE44" i="8" s="1"/>
  <c r="N43" i="8"/>
  <c r="Y43" i="8" s="1"/>
  <c r="AI43" i="8" s="1"/>
  <c r="I43" i="8"/>
  <c r="U43" i="8" s="1"/>
  <c r="AE43" i="8" s="1"/>
  <c r="V42" i="8"/>
  <c r="AH42" i="8" s="1"/>
  <c r="N42" i="8"/>
  <c r="Y42" i="8" s="1"/>
  <c r="AI42" i="8" s="1"/>
  <c r="I42" i="8"/>
  <c r="U42" i="8" s="1"/>
  <c r="AE42" i="8" s="1"/>
  <c r="N41" i="8"/>
  <c r="Y41" i="8" s="1"/>
  <c r="AI41" i="8" s="1"/>
  <c r="I41" i="8"/>
  <c r="U41" i="8" s="1"/>
  <c r="AE41" i="8" s="1"/>
  <c r="N40" i="8"/>
  <c r="Y40" i="8" s="1"/>
  <c r="AI40" i="8" s="1"/>
  <c r="I40" i="8"/>
  <c r="U40" i="8" s="1"/>
  <c r="AE40" i="8" s="1"/>
  <c r="N39" i="8"/>
  <c r="Y39" i="8" s="1"/>
  <c r="AI39" i="8" s="1"/>
  <c r="I39" i="8"/>
  <c r="U39" i="8" s="1"/>
  <c r="AE39" i="8" s="1"/>
  <c r="N38" i="8"/>
  <c r="I38" i="8"/>
  <c r="U38" i="8" s="1"/>
  <c r="AE38" i="8" s="1"/>
  <c r="N37" i="8"/>
  <c r="V37" i="8" s="1"/>
  <c r="AH37" i="8" s="1"/>
  <c r="I37" i="8"/>
  <c r="T37" i="8" s="1"/>
  <c r="AD37" i="8" s="1"/>
  <c r="N36" i="8"/>
  <c r="V36" i="8" s="1"/>
  <c r="AH36" i="8" s="1"/>
  <c r="I36" i="8"/>
  <c r="N35" i="8"/>
  <c r="V35" i="8" s="1"/>
  <c r="AH35" i="8" s="1"/>
  <c r="I35" i="8"/>
  <c r="T35" i="8" s="1"/>
  <c r="AD35" i="8" s="1"/>
  <c r="N34" i="8"/>
  <c r="V34" i="8" s="1"/>
  <c r="AH34" i="8" s="1"/>
  <c r="I34" i="8"/>
  <c r="T34" i="8" s="1"/>
  <c r="AD34" i="8" s="1"/>
  <c r="N33" i="8"/>
  <c r="V33" i="8" s="1"/>
  <c r="AH33" i="8" s="1"/>
  <c r="I33" i="8"/>
  <c r="T33" i="8" s="1"/>
  <c r="AD33" i="8" s="1"/>
  <c r="N32" i="8"/>
  <c r="V32" i="8" s="1"/>
  <c r="AH32" i="8" s="1"/>
  <c r="I32" i="8"/>
  <c r="N31" i="8"/>
  <c r="V31" i="8" s="1"/>
  <c r="AH31" i="8" s="1"/>
  <c r="I31" i="8"/>
  <c r="T31" i="8" s="1"/>
  <c r="AD31" i="8" s="1"/>
  <c r="N30" i="8"/>
  <c r="V30" i="8" s="1"/>
  <c r="AH30" i="8" s="1"/>
  <c r="I30" i="8"/>
  <c r="S30" i="8" s="1"/>
  <c r="AC30" i="8" s="1"/>
  <c r="N29" i="8"/>
  <c r="V29" i="8" s="1"/>
  <c r="AH29" i="8" s="1"/>
  <c r="I29" i="8"/>
  <c r="T29" i="8" s="1"/>
  <c r="AD29" i="8" s="1"/>
  <c r="N28" i="8"/>
  <c r="V28" i="8" s="1"/>
  <c r="AH28" i="8" s="1"/>
  <c r="I28" i="8"/>
  <c r="N27" i="8"/>
  <c r="V27" i="8" s="1"/>
  <c r="AH27" i="8" s="1"/>
  <c r="I27" i="8"/>
  <c r="T27" i="8" s="1"/>
  <c r="AD27" i="8" s="1"/>
  <c r="N26" i="8"/>
  <c r="V26" i="8" s="1"/>
  <c r="AH26" i="8" s="1"/>
  <c r="I26" i="8"/>
  <c r="T26" i="8" s="1"/>
  <c r="AD26" i="8" s="1"/>
  <c r="N25" i="8"/>
  <c r="V25" i="8" s="1"/>
  <c r="AH25" i="8" s="1"/>
  <c r="I25" i="8"/>
  <c r="S25" i="8" s="1"/>
  <c r="AC25" i="8" s="1"/>
  <c r="N24" i="8"/>
  <c r="V24" i="8" s="1"/>
  <c r="AH24" i="8" s="1"/>
  <c r="I24" i="8"/>
  <c r="N23" i="8"/>
  <c r="V23" i="8" s="1"/>
  <c r="AH23" i="8" s="1"/>
  <c r="I23" i="8"/>
  <c r="T23" i="8" s="1"/>
  <c r="AD23" i="8" s="1"/>
  <c r="N22" i="8"/>
  <c r="W22" i="8" s="1"/>
  <c r="AG22" i="8" s="1"/>
  <c r="I22" i="8"/>
  <c r="T22" i="8" s="1"/>
  <c r="AD22" i="8" s="1"/>
  <c r="N21" i="8"/>
  <c r="W21" i="8" s="1"/>
  <c r="AG21" i="8" s="1"/>
  <c r="I21" i="8"/>
  <c r="T21" i="8" s="1"/>
  <c r="AD21" i="8" s="1"/>
  <c r="N20" i="8"/>
  <c r="W20" i="8" s="1"/>
  <c r="AG20" i="8" s="1"/>
  <c r="I20" i="8"/>
  <c r="T20" i="8" s="1"/>
  <c r="AD20" i="8" s="1"/>
  <c r="N19" i="8"/>
  <c r="W19" i="8" s="1"/>
  <c r="AG19" i="8" s="1"/>
  <c r="I19" i="8"/>
  <c r="T19" i="8" s="1"/>
  <c r="AD19" i="8" s="1"/>
  <c r="N18" i="8"/>
  <c r="W18" i="8" s="1"/>
  <c r="AG18" i="8" s="1"/>
  <c r="I18" i="8"/>
  <c r="T18" i="8" s="1"/>
  <c r="AD18" i="8" s="1"/>
  <c r="N17" i="8"/>
  <c r="W17" i="8" s="1"/>
  <c r="AG17" i="8" s="1"/>
  <c r="I17" i="8"/>
  <c r="T17" i="8" s="1"/>
  <c r="AD17" i="8" s="1"/>
  <c r="N16" i="8"/>
  <c r="W16" i="8" s="1"/>
  <c r="AG16" i="8" s="1"/>
  <c r="I16" i="8"/>
  <c r="T16" i="8" s="1"/>
  <c r="AD16" i="8" s="1"/>
  <c r="N15" i="8"/>
  <c r="W15" i="8" s="1"/>
  <c r="AG15" i="8" s="1"/>
  <c r="I15" i="8"/>
  <c r="T15" i="8" s="1"/>
  <c r="AD15" i="8" s="1"/>
  <c r="N14" i="8"/>
  <c r="W14" i="8" s="1"/>
  <c r="AG14" i="8" s="1"/>
  <c r="I14" i="8"/>
  <c r="N13" i="8"/>
  <c r="X13" i="8" s="1"/>
  <c r="AF13" i="8" s="1"/>
  <c r="I13" i="8"/>
  <c r="U13" i="8" s="1"/>
  <c r="AE13" i="8" s="1"/>
  <c r="N12" i="8"/>
  <c r="X12" i="8" s="1"/>
  <c r="AF12" i="8" s="1"/>
  <c r="I12" i="8"/>
  <c r="N11" i="8"/>
  <c r="X11" i="8" s="1"/>
  <c r="AF11" i="8" s="1"/>
  <c r="I11" i="8"/>
  <c r="AE11" i="8" s="1"/>
  <c r="N10" i="8"/>
  <c r="X10" i="8" s="1"/>
  <c r="AF10" i="8" s="1"/>
  <c r="I10" i="8"/>
  <c r="N9" i="8"/>
  <c r="X9" i="8" s="1"/>
  <c r="AF9" i="8" s="1"/>
  <c r="I9" i="8"/>
  <c r="T9" i="8" s="1"/>
  <c r="AD9" i="8" s="1"/>
  <c r="N8" i="8"/>
  <c r="X8" i="8" s="1"/>
  <c r="AF8" i="8" s="1"/>
  <c r="I8" i="8"/>
  <c r="N7" i="8"/>
  <c r="X7" i="8" s="1"/>
  <c r="AF7" i="8" s="1"/>
  <c r="I7" i="8"/>
  <c r="U7" i="8" s="1"/>
  <c r="AE7" i="8" s="1"/>
  <c r="N6" i="8"/>
  <c r="X6" i="8" s="1"/>
  <c r="AF6" i="8" s="1"/>
  <c r="I6" i="8"/>
  <c r="N5" i="8"/>
  <c r="X5" i="8" s="1"/>
  <c r="AF5" i="8" s="1"/>
  <c r="I5" i="8"/>
  <c r="U5" i="8" s="1"/>
  <c r="AE5" i="8" s="1"/>
  <c r="I4" i="8"/>
  <c r="T4" i="8" s="1"/>
  <c r="AD4" i="8" s="1"/>
  <c r="AI4" i="4"/>
  <c r="V53" i="8" l="1"/>
  <c r="AH53" i="8" s="1"/>
  <c r="X37" i="8"/>
  <c r="AF37" i="8" s="1"/>
  <c r="W23" i="8"/>
  <c r="AG23" i="8" s="1"/>
  <c r="X32" i="8"/>
  <c r="AF32" i="8" s="1"/>
  <c r="W50" i="8"/>
  <c r="AG50" i="8" s="1"/>
  <c r="X27" i="8"/>
  <c r="AF27" i="8" s="1"/>
  <c r="X18" i="8"/>
  <c r="AF18" i="8" s="1"/>
  <c r="W25" i="8"/>
  <c r="AG25" i="8" s="1"/>
  <c r="W30" i="8"/>
  <c r="AG30" i="8" s="1"/>
  <c r="W33" i="8"/>
  <c r="AG33" i="8" s="1"/>
  <c r="W34" i="8"/>
  <c r="AG34" i="8" s="1"/>
  <c r="V39" i="8"/>
  <c r="AH39" i="8" s="1"/>
  <c r="W40" i="8"/>
  <c r="AG40" i="8" s="1"/>
  <c r="V43" i="8"/>
  <c r="AH43" i="8" s="1"/>
  <c r="W44" i="8"/>
  <c r="AG44" i="8" s="1"/>
  <c r="X33" i="8"/>
  <c r="AF33" i="8" s="1"/>
  <c r="W39" i="8"/>
  <c r="AG39" i="8" s="1"/>
  <c r="W43" i="8"/>
  <c r="AG43" i="8" s="1"/>
  <c r="V50" i="8"/>
  <c r="AH50" i="8" s="1"/>
  <c r="W51" i="8"/>
  <c r="AG51" i="8" s="1"/>
  <c r="X25" i="8"/>
  <c r="AF25" i="8" s="1"/>
  <c r="W28" i="8"/>
  <c r="AG28" i="8" s="1"/>
  <c r="V46" i="8"/>
  <c r="AH46" i="8" s="1"/>
  <c r="V47" i="8"/>
  <c r="AH47" i="8" s="1"/>
  <c r="W53" i="8"/>
  <c r="AG53" i="8" s="1"/>
  <c r="V54" i="8"/>
  <c r="AH54" i="8" s="1"/>
  <c r="W55" i="8"/>
  <c r="AG55" i="8" s="1"/>
  <c r="X28" i="8"/>
  <c r="AF28" i="8" s="1"/>
  <c r="W47" i="8"/>
  <c r="AG47" i="8" s="1"/>
  <c r="W48" i="8"/>
  <c r="AG48" i="8" s="1"/>
  <c r="W54" i="8"/>
  <c r="AG54" i="8" s="1"/>
  <c r="W57" i="8"/>
  <c r="AG57" i="8" s="1"/>
  <c r="V58" i="8"/>
  <c r="AH58" i="8" s="1"/>
  <c r="X47" i="8"/>
  <c r="AF47" i="8" s="1"/>
  <c r="R39" i="8"/>
  <c r="AB39" i="8" s="1"/>
  <c r="S57" i="8"/>
  <c r="AC57" i="8" s="1"/>
  <c r="U9" i="8"/>
  <c r="AE9" i="8" s="1"/>
  <c r="S29" i="8"/>
  <c r="AC29" i="8" s="1"/>
  <c r="T30" i="8"/>
  <c r="AD30" i="8" s="1"/>
  <c r="R42" i="8"/>
  <c r="AB42" i="8" s="1"/>
  <c r="R43" i="8"/>
  <c r="AB43" i="8" s="1"/>
  <c r="T25" i="8"/>
  <c r="AD25" i="8" s="1"/>
  <c r="S33" i="8"/>
  <c r="AC33" i="8" s="1"/>
  <c r="S51" i="8"/>
  <c r="AC51" i="8" s="1"/>
  <c r="S52" i="8"/>
  <c r="AC52" i="8" s="1"/>
  <c r="S54" i="8"/>
  <c r="AC54" i="8" s="1"/>
  <c r="T5" i="8"/>
  <c r="AD5" i="8" s="1"/>
  <c r="S34" i="8"/>
  <c r="AC34" i="8" s="1"/>
  <c r="S38" i="8"/>
  <c r="AC38" i="8" s="1"/>
  <c r="R40" i="8"/>
  <c r="AB40" i="8" s="1"/>
  <c r="R41" i="8"/>
  <c r="AB41" i="8" s="1"/>
  <c r="R44" i="8"/>
  <c r="AB44" i="8" s="1"/>
  <c r="R45" i="8"/>
  <c r="AB45" i="8" s="1"/>
  <c r="S55" i="8"/>
  <c r="AC55" i="8" s="1"/>
  <c r="S56" i="8"/>
  <c r="AC56" i="8" s="1"/>
  <c r="S58" i="8"/>
  <c r="AC58" i="8" s="1"/>
  <c r="T7" i="8"/>
  <c r="AD7" i="8" s="1"/>
  <c r="T13" i="8"/>
  <c r="AD13" i="8" s="1"/>
  <c r="S48" i="8"/>
  <c r="AC48" i="8" s="1"/>
  <c r="R49" i="8"/>
  <c r="AB49" i="8" s="1"/>
  <c r="S50" i="8"/>
  <c r="AC50" i="8" s="1"/>
  <c r="S53" i="8"/>
  <c r="AC53" i="8" s="1"/>
  <c r="S49" i="8"/>
  <c r="AC49" i="8" s="1"/>
  <c r="X29" i="8"/>
  <c r="AF29" i="8" s="1"/>
  <c r="W26" i="8"/>
  <c r="AG26" i="8" s="1"/>
  <c r="X34" i="8"/>
  <c r="AF34" i="8" s="1"/>
  <c r="W35" i="8"/>
  <c r="AG35" i="8" s="1"/>
  <c r="X48" i="8"/>
  <c r="AF48" i="8" s="1"/>
  <c r="X49" i="8"/>
  <c r="AF49" i="8" s="1"/>
  <c r="V57" i="8"/>
  <c r="AH57" i="8" s="1"/>
  <c r="W58" i="8"/>
  <c r="AG58" i="8" s="1"/>
  <c r="X22" i="8"/>
  <c r="AF22" i="8" s="1"/>
  <c r="X16" i="8"/>
  <c r="AF16" i="8" s="1"/>
  <c r="X20" i="8"/>
  <c r="AF20" i="8" s="1"/>
  <c r="X21" i="8"/>
  <c r="AF21" i="8" s="1"/>
  <c r="X23" i="8"/>
  <c r="AF23" i="8" s="1"/>
  <c r="W24" i="8"/>
  <c r="AG24" i="8" s="1"/>
  <c r="X26" i="8"/>
  <c r="AF26" i="8" s="1"/>
  <c r="X30" i="8"/>
  <c r="AF30" i="8" s="1"/>
  <c r="W31" i="8"/>
  <c r="AG31" i="8" s="1"/>
  <c r="X35" i="8"/>
  <c r="AF35" i="8" s="1"/>
  <c r="W36" i="8"/>
  <c r="AG36" i="8" s="1"/>
  <c r="V41" i="8"/>
  <c r="AH41" i="8" s="1"/>
  <c r="W42" i="8"/>
  <c r="AG42" i="8" s="1"/>
  <c r="V45" i="8"/>
  <c r="AH45" i="8" s="1"/>
  <c r="W46" i="8"/>
  <c r="AG46" i="8" s="1"/>
  <c r="V52" i="8"/>
  <c r="AH52" i="8" s="1"/>
  <c r="V56" i="8"/>
  <c r="AH56" i="8" s="1"/>
  <c r="W49" i="8"/>
  <c r="AG49" i="8" s="1"/>
  <c r="X17" i="8"/>
  <c r="AF17" i="8" s="1"/>
  <c r="X14" i="8"/>
  <c r="AF14" i="8" s="1"/>
  <c r="X15" i="8"/>
  <c r="AF15" i="8" s="1"/>
  <c r="X19" i="8"/>
  <c r="AF19" i="8" s="1"/>
  <c r="X24" i="8"/>
  <c r="AF24" i="8" s="1"/>
  <c r="W27" i="8"/>
  <c r="AG27" i="8" s="1"/>
  <c r="W29" i="8"/>
  <c r="AG29" i="8" s="1"/>
  <c r="X31" i="8"/>
  <c r="AF31" i="8" s="1"/>
  <c r="W32" i="8"/>
  <c r="AG32" i="8" s="1"/>
  <c r="X36" i="8"/>
  <c r="AF36" i="8" s="1"/>
  <c r="W37" i="8"/>
  <c r="AG37" i="8" s="1"/>
  <c r="V40" i="8"/>
  <c r="AH40" i="8" s="1"/>
  <c r="W41" i="8"/>
  <c r="AG41" i="8" s="1"/>
  <c r="V44" i="8"/>
  <c r="AH44" i="8" s="1"/>
  <c r="W45" i="8"/>
  <c r="AG45" i="8" s="1"/>
  <c r="X46" i="8"/>
  <c r="AF46" i="8" s="1"/>
  <c r="V48" i="8"/>
  <c r="AH48" i="8" s="1"/>
  <c r="V49" i="8"/>
  <c r="AH49" i="8" s="1"/>
  <c r="V51" i="8"/>
  <c r="AH51" i="8" s="1"/>
  <c r="W52" i="8"/>
  <c r="AG52" i="8" s="1"/>
  <c r="V55" i="8"/>
  <c r="AH55" i="8" s="1"/>
  <c r="W56" i="8"/>
  <c r="AG56" i="8" s="1"/>
  <c r="T11" i="8"/>
  <c r="AD11" i="8" s="1"/>
  <c r="S26" i="8"/>
  <c r="AC26" i="8" s="1"/>
  <c r="S37" i="8"/>
  <c r="AC37" i="8" s="1"/>
  <c r="S39" i="8"/>
  <c r="AC39" i="8" s="1"/>
  <c r="S40" i="8"/>
  <c r="AC40" i="8" s="1"/>
  <c r="S41" i="8"/>
  <c r="AC41" i="8" s="1"/>
  <c r="S42" i="8"/>
  <c r="AC42" i="8" s="1"/>
  <c r="S43" i="8"/>
  <c r="AC43" i="8" s="1"/>
  <c r="S44" i="8"/>
  <c r="AC44" i="8" s="1"/>
  <c r="S45" i="8"/>
  <c r="AC45" i="8" s="1"/>
  <c r="S46" i="8"/>
  <c r="AC46" i="8" s="1"/>
  <c r="R47" i="8"/>
  <c r="AB47" i="8" s="1"/>
  <c r="S47" i="8"/>
  <c r="AC47" i="8" s="1"/>
  <c r="R48" i="8"/>
  <c r="AB48" i="8" s="1"/>
  <c r="R50" i="8"/>
  <c r="AB50" i="8" s="1"/>
  <c r="R51" i="8"/>
  <c r="AB51" i="8" s="1"/>
  <c r="R52" i="8"/>
  <c r="AB52" i="8" s="1"/>
  <c r="R53" i="8"/>
  <c r="AB53" i="8" s="1"/>
  <c r="R54" i="8"/>
  <c r="AB54" i="8" s="1"/>
  <c r="R55" i="8"/>
  <c r="AB55" i="8" s="1"/>
  <c r="R56" i="8"/>
  <c r="AB56" i="8" s="1"/>
  <c r="R57" i="8"/>
  <c r="AB57" i="8" s="1"/>
  <c r="R58" i="8"/>
  <c r="AB58" i="8" s="1"/>
  <c r="S6" i="8"/>
  <c r="AC6" i="8" s="1"/>
  <c r="R6" i="8"/>
  <c r="AB6" i="8" s="1"/>
  <c r="S8" i="8"/>
  <c r="AC8" i="8" s="1"/>
  <c r="R8" i="8"/>
  <c r="AB8" i="8" s="1"/>
  <c r="S10" i="8"/>
  <c r="AC10" i="8" s="1"/>
  <c r="R10" i="8"/>
  <c r="AB10" i="8" s="1"/>
  <c r="S12" i="8"/>
  <c r="AC12" i="8" s="1"/>
  <c r="R12" i="8"/>
  <c r="AB12" i="8" s="1"/>
  <c r="S14" i="8"/>
  <c r="AC14" i="8" s="1"/>
  <c r="U14" i="8"/>
  <c r="AE14" i="8" s="1"/>
  <c r="R14" i="8"/>
  <c r="AB14" i="8" s="1"/>
  <c r="W6" i="8"/>
  <c r="AG6" i="8" s="1"/>
  <c r="V6" i="8"/>
  <c r="AH6" i="8" s="1"/>
  <c r="Y6" i="8"/>
  <c r="AI6" i="8" s="1"/>
  <c r="W12" i="8"/>
  <c r="AG12" i="8" s="1"/>
  <c r="V12" i="8"/>
  <c r="AH12" i="8" s="1"/>
  <c r="R32" i="8"/>
  <c r="AB32" i="8" s="1"/>
  <c r="U32" i="8"/>
  <c r="AE32" i="8" s="1"/>
  <c r="T32" i="8"/>
  <c r="AD32" i="8" s="1"/>
  <c r="S32" i="8"/>
  <c r="AC32" i="8" s="1"/>
  <c r="S5" i="8"/>
  <c r="AC5" i="8" s="1"/>
  <c r="R5" i="8"/>
  <c r="AB5" i="8" s="1"/>
  <c r="T6" i="8"/>
  <c r="AD6" i="8" s="1"/>
  <c r="S7" i="8"/>
  <c r="AC7" i="8" s="1"/>
  <c r="R7" i="8"/>
  <c r="AB7" i="8" s="1"/>
  <c r="T8" i="8"/>
  <c r="AD8" i="8" s="1"/>
  <c r="S9" i="8"/>
  <c r="AC9" i="8" s="1"/>
  <c r="R9" i="8"/>
  <c r="AB9" i="8" s="1"/>
  <c r="T10" i="8"/>
  <c r="AD10" i="8" s="1"/>
  <c r="S11" i="8"/>
  <c r="AC11" i="8" s="1"/>
  <c r="R11" i="8"/>
  <c r="AB11" i="8" s="1"/>
  <c r="T12" i="8"/>
  <c r="AD12" i="8" s="1"/>
  <c r="S13" i="8"/>
  <c r="AC13" i="8" s="1"/>
  <c r="R13" i="8"/>
  <c r="AB13" i="8" s="1"/>
  <c r="T14" i="8"/>
  <c r="AD14" i="8" s="1"/>
  <c r="S15" i="8"/>
  <c r="AC15" i="8" s="1"/>
  <c r="U15" i="8"/>
  <c r="AE15" i="8" s="1"/>
  <c r="R15" i="8"/>
  <c r="AB15" i="8" s="1"/>
  <c r="S17" i="8"/>
  <c r="AC17" i="8" s="1"/>
  <c r="U17" i="8"/>
  <c r="AE17" i="8" s="1"/>
  <c r="R17" i="8"/>
  <c r="AB17" i="8" s="1"/>
  <c r="S19" i="8"/>
  <c r="AC19" i="8" s="1"/>
  <c r="U19" i="8"/>
  <c r="AE19" i="8" s="1"/>
  <c r="R19" i="8"/>
  <c r="AB19" i="8" s="1"/>
  <c r="S21" i="8"/>
  <c r="AC21" i="8" s="1"/>
  <c r="U21" i="8"/>
  <c r="AE21" i="8" s="1"/>
  <c r="R21" i="8"/>
  <c r="AB21" i="8" s="1"/>
  <c r="S4" i="8"/>
  <c r="AC4" i="8" s="1"/>
  <c r="R4" i="8"/>
  <c r="AB4" i="8" s="1"/>
  <c r="S16" i="8"/>
  <c r="AC16" i="8" s="1"/>
  <c r="R16" i="8"/>
  <c r="AB16" i="8" s="1"/>
  <c r="U16" i="8"/>
  <c r="AE16" i="8" s="1"/>
  <c r="S18" i="8"/>
  <c r="AC18" i="8" s="1"/>
  <c r="R18" i="8"/>
  <c r="AB18" i="8" s="1"/>
  <c r="U18" i="8"/>
  <c r="AE18" i="8" s="1"/>
  <c r="S20" i="8"/>
  <c r="AC20" i="8" s="1"/>
  <c r="R20" i="8"/>
  <c r="AB20" i="8" s="1"/>
  <c r="U20" i="8"/>
  <c r="AE20" i="8" s="1"/>
  <c r="S22" i="8"/>
  <c r="AC22" i="8" s="1"/>
  <c r="R22" i="8"/>
  <c r="AB22" i="8" s="1"/>
  <c r="U22" i="8"/>
  <c r="AE22" i="8" s="1"/>
  <c r="W4" i="8"/>
  <c r="V4" i="8"/>
  <c r="AH4" i="8" s="1"/>
  <c r="Y4" i="8"/>
  <c r="AI4" i="8" s="1"/>
  <c r="W8" i="8"/>
  <c r="AG8" i="8" s="1"/>
  <c r="V8" i="8"/>
  <c r="AH8" i="8" s="1"/>
  <c r="Y8" i="8"/>
  <c r="AI8" i="8" s="1"/>
  <c r="W10" i="8"/>
  <c r="AG10" i="8" s="1"/>
  <c r="V10" i="8"/>
  <c r="AH10" i="8" s="1"/>
  <c r="Y10" i="8"/>
  <c r="AI10" i="8" s="1"/>
  <c r="Y12" i="8"/>
  <c r="AI12" i="8" s="1"/>
  <c r="R24" i="8"/>
  <c r="AB24" i="8" s="1"/>
  <c r="U24" i="8"/>
  <c r="AE24" i="8" s="1"/>
  <c r="T24" i="8"/>
  <c r="AD24" i="8" s="1"/>
  <c r="S24" i="8"/>
  <c r="AC24" i="8" s="1"/>
  <c r="R28" i="8"/>
  <c r="AB28" i="8" s="1"/>
  <c r="U28" i="8"/>
  <c r="AE28" i="8" s="1"/>
  <c r="T28" i="8"/>
  <c r="AD28" i="8" s="1"/>
  <c r="S28" i="8"/>
  <c r="AC28" i="8" s="1"/>
  <c r="R36" i="8"/>
  <c r="AB36" i="8" s="1"/>
  <c r="U36" i="8"/>
  <c r="AE36" i="8" s="1"/>
  <c r="T36" i="8"/>
  <c r="AD36" i="8" s="1"/>
  <c r="S36" i="8"/>
  <c r="AC36" i="8" s="1"/>
  <c r="U4" i="8"/>
  <c r="AE4" i="8" s="1"/>
  <c r="W5" i="8"/>
  <c r="AG5" i="8" s="1"/>
  <c r="V5" i="8"/>
  <c r="AH5" i="8" s="1"/>
  <c r="Y5" i="8"/>
  <c r="AI5" i="8" s="1"/>
  <c r="U6" i="8"/>
  <c r="W7" i="8"/>
  <c r="AG7" i="8" s="1"/>
  <c r="V7" i="8"/>
  <c r="AH7" i="8" s="1"/>
  <c r="Y7" i="8"/>
  <c r="AI7" i="8" s="1"/>
  <c r="U8" i="8"/>
  <c r="AE8" i="8" s="1"/>
  <c r="W9" i="8"/>
  <c r="AG9" i="8" s="1"/>
  <c r="V9" i="8"/>
  <c r="AH9" i="8" s="1"/>
  <c r="Y9" i="8"/>
  <c r="AI9" i="8" s="1"/>
  <c r="U10" i="8"/>
  <c r="AE10" i="8" s="1"/>
  <c r="W11" i="8"/>
  <c r="AG11" i="8" s="1"/>
  <c r="V11" i="8"/>
  <c r="AH11" i="8" s="1"/>
  <c r="Y11" i="8"/>
  <c r="AI11" i="8" s="1"/>
  <c r="U12" i="8"/>
  <c r="AE12" i="8" s="1"/>
  <c r="W13" i="8"/>
  <c r="AG13" i="8" s="1"/>
  <c r="V13" i="8"/>
  <c r="AH13" i="8" s="1"/>
  <c r="Y13" i="8"/>
  <c r="AI13" i="8" s="1"/>
  <c r="Y15" i="8"/>
  <c r="AI15" i="8" s="1"/>
  <c r="Y17" i="8"/>
  <c r="AI17" i="8" s="1"/>
  <c r="Y19" i="8"/>
  <c r="AI19" i="8" s="1"/>
  <c r="Y20" i="8"/>
  <c r="AI20" i="8" s="1"/>
  <c r="Y21" i="8"/>
  <c r="AI21" i="8" s="1"/>
  <c r="R27" i="8"/>
  <c r="AB27" i="8" s="1"/>
  <c r="U27" i="8"/>
  <c r="AE27" i="8" s="1"/>
  <c r="R31" i="8"/>
  <c r="AB31" i="8" s="1"/>
  <c r="U31" i="8"/>
  <c r="AE31" i="8" s="1"/>
  <c r="R35" i="8"/>
  <c r="AB35" i="8" s="1"/>
  <c r="U35" i="8"/>
  <c r="AE35" i="8" s="1"/>
  <c r="V14" i="8"/>
  <c r="AH14" i="8" s="1"/>
  <c r="V15" i="8"/>
  <c r="AH15" i="8" s="1"/>
  <c r="V16" i="8"/>
  <c r="AH16" i="8" s="1"/>
  <c r="V17" i="8"/>
  <c r="AH17" i="8" s="1"/>
  <c r="V18" i="8"/>
  <c r="AH18" i="8" s="1"/>
  <c r="V19" i="8"/>
  <c r="AH19" i="8" s="1"/>
  <c r="V20" i="8"/>
  <c r="AH20" i="8" s="1"/>
  <c r="V21" i="8"/>
  <c r="AH21" i="8" s="1"/>
  <c r="V22" i="8"/>
  <c r="AH22" i="8" s="1"/>
  <c r="R26" i="8"/>
  <c r="AB26" i="8" s="1"/>
  <c r="U26" i="8"/>
  <c r="AE26" i="8" s="1"/>
  <c r="R30" i="8"/>
  <c r="AB30" i="8" s="1"/>
  <c r="U30" i="8"/>
  <c r="AE30" i="8" s="1"/>
  <c r="R34" i="8"/>
  <c r="AB34" i="8" s="1"/>
  <c r="U34" i="8"/>
  <c r="AE34" i="8" s="1"/>
  <c r="T38" i="8"/>
  <c r="AD38" i="8" s="1"/>
  <c r="R38" i="8"/>
  <c r="AB38" i="8" s="1"/>
  <c r="Y14" i="8"/>
  <c r="AI14" i="8" s="1"/>
  <c r="Y16" i="8"/>
  <c r="AI16" i="8" s="1"/>
  <c r="Y18" i="8"/>
  <c r="AI18" i="8" s="1"/>
  <c r="Y22" i="8"/>
  <c r="AI22" i="8" s="1"/>
  <c r="R23" i="8"/>
  <c r="AB23" i="8" s="1"/>
  <c r="U23" i="8"/>
  <c r="AE23" i="8" s="1"/>
  <c r="S23" i="8"/>
  <c r="AC23" i="8" s="1"/>
  <c r="R25" i="8"/>
  <c r="AB25" i="8" s="1"/>
  <c r="U25" i="8"/>
  <c r="AE25" i="8" s="1"/>
  <c r="S27" i="8"/>
  <c r="AC27" i="8" s="1"/>
  <c r="R29" i="8"/>
  <c r="AB29" i="8" s="1"/>
  <c r="U29" i="8"/>
  <c r="AE29" i="8" s="1"/>
  <c r="S31" i="8"/>
  <c r="AC31" i="8" s="1"/>
  <c r="R33" i="8"/>
  <c r="AB33" i="8" s="1"/>
  <c r="U33" i="8"/>
  <c r="AE33" i="8" s="1"/>
  <c r="S35" i="8"/>
  <c r="AC35" i="8" s="1"/>
  <c r="R37" i="8"/>
  <c r="AB37" i="8" s="1"/>
  <c r="U37" i="8"/>
  <c r="AE37" i="8" s="1"/>
  <c r="Y23" i="8"/>
  <c r="AI23" i="8" s="1"/>
  <c r="Y24" i="8"/>
  <c r="AI24" i="8" s="1"/>
  <c r="Y25" i="8"/>
  <c r="AI25" i="8" s="1"/>
  <c r="Y26" i="8"/>
  <c r="AI26" i="8" s="1"/>
  <c r="Y27" i="8"/>
  <c r="AI27" i="8" s="1"/>
  <c r="Y28" i="8"/>
  <c r="AI28" i="8" s="1"/>
  <c r="Y29" i="8"/>
  <c r="AI29" i="8" s="1"/>
  <c r="Y30" i="8"/>
  <c r="AI30" i="8" s="1"/>
  <c r="Y31" i="8"/>
  <c r="AI31" i="8" s="1"/>
  <c r="Y32" i="8"/>
  <c r="AI32" i="8" s="1"/>
  <c r="Y33" i="8"/>
  <c r="AI33" i="8" s="1"/>
  <c r="Y34" i="8"/>
  <c r="AI34" i="8" s="1"/>
  <c r="Y35" i="8"/>
  <c r="AI35" i="8" s="1"/>
  <c r="Y36" i="8"/>
  <c r="AI36" i="8" s="1"/>
  <c r="Y37" i="8"/>
  <c r="AI37" i="8" s="1"/>
  <c r="Y38" i="8"/>
  <c r="AI38" i="8" s="1"/>
  <c r="X38" i="8"/>
  <c r="AF38" i="8" s="1"/>
  <c r="V38" i="8"/>
  <c r="AH38" i="8" s="1"/>
  <c r="W38" i="8"/>
  <c r="AG38" i="8" s="1"/>
  <c r="T39" i="8"/>
  <c r="AD39" i="8" s="1"/>
  <c r="X39" i="8"/>
  <c r="AF39" i="8" s="1"/>
  <c r="T40" i="8"/>
  <c r="AD40" i="8" s="1"/>
  <c r="X40" i="8"/>
  <c r="AF40" i="8" s="1"/>
  <c r="T41" i="8"/>
  <c r="AD41" i="8" s="1"/>
  <c r="X41" i="8"/>
  <c r="AF41" i="8" s="1"/>
  <c r="T42" i="8"/>
  <c r="AD42" i="8" s="1"/>
  <c r="X42" i="8"/>
  <c r="AF42" i="8" s="1"/>
  <c r="T43" i="8"/>
  <c r="AD43" i="8" s="1"/>
  <c r="X43" i="8"/>
  <c r="AF43" i="8" s="1"/>
  <c r="T44" i="8"/>
  <c r="AD44" i="8" s="1"/>
  <c r="X44" i="8"/>
  <c r="AF44" i="8" s="1"/>
  <c r="T45" i="8"/>
  <c r="AD45" i="8" s="1"/>
  <c r="X45" i="8"/>
  <c r="AF45" i="8" s="1"/>
  <c r="T46" i="8"/>
  <c r="AD46" i="8" s="1"/>
  <c r="T47" i="8"/>
  <c r="AD47" i="8" s="1"/>
  <c r="T48" i="8"/>
  <c r="AD48" i="8" s="1"/>
  <c r="T49" i="8"/>
  <c r="AD49" i="8" s="1"/>
  <c r="T50" i="8"/>
  <c r="AD50" i="8" s="1"/>
  <c r="X50" i="8"/>
  <c r="AF50" i="8" s="1"/>
  <c r="T51" i="8"/>
  <c r="AD51" i="8" s="1"/>
  <c r="X51" i="8"/>
  <c r="AF51" i="8" s="1"/>
  <c r="T52" i="8"/>
  <c r="AD52" i="8" s="1"/>
  <c r="X52" i="8"/>
  <c r="AF52" i="8" s="1"/>
  <c r="T53" i="8"/>
  <c r="AD53" i="8" s="1"/>
  <c r="X53" i="8"/>
  <c r="AF53" i="8" s="1"/>
  <c r="T54" i="8"/>
  <c r="AD54" i="8" s="1"/>
  <c r="X54" i="8"/>
  <c r="AF54" i="8" s="1"/>
  <c r="T55" i="8"/>
  <c r="AD55" i="8" s="1"/>
  <c r="X55" i="8"/>
  <c r="AF55" i="8" s="1"/>
  <c r="T56" i="8"/>
  <c r="AD56" i="8" s="1"/>
  <c r="X56" i="8"/>
  <c r="AF56" i="8" s="1"/>
  <c r="T57" i="8"/>
  <c r="AD57" i="8" s="1"/>
  <c r="X57" i="8"/>
  <c r="AF57" i="8" s="1"/>
  <c r="T58" i="8"/>
  <c r="AD58" i="8" s="1"/>
  <c r="X58" i="8"/>
  <c r="AF58" i="8" s="1"/>
  <c r="Z6" i="8" l="1"/>
  <c r="Z46" i="8"/>
  <c r="Z48" i="8"/>
  <c r="Z39" i="8"/>
  <c r="Z43" i="8"/>
  <c r="Z58" i="8"/>
  <c r="Z54" i="8"/>
  <c r="Z52" i="8"/>
  <c r="Z50" i="8"/>
  <c r="Z44" i="8"/>
  <c r="Z42" i="8"/>
  <c r="Z40" i="8"/>
  <c r="Z21" i="8"/>
  <c r="Z49" i="8"/>
  <c r="Z57" i="8"/>
  <c r="Z53" i="8"/>
  <c r="Z45" i="8"/>
  <c r="Z41" i="8"/>
  <c r="Z55" i="8"/>
  <c r="Z51" i="8"/>
  <c r="Z56" i="8"/>
  <c r="Z47" i="8"/>
  <c r="Z23" i="8"/>
  <c r="Z35" i="8"/>
  <c r="Z27" i="8"/>
  <c r="Z20" i="8"/>
  <c r="Z14" i="8"/>
  <c r="Z25" i="8"/>
  <c r="Z26" i="8"/>
  <c r="Z22" i="8"/>
  <c r="Z15" i="8"/>
  <c r="Z32" i="8"/>
  <c r="Z10" i="8"/>
  <c r="Z29" i="8"/>
  <c r="Z38" i="8"/>
  <c r="Z31" i="8"/>
  <c r="Z16" i="8"/>
  <c r="Z17" i="8"/>
  <c r="Z7" i="8"/>
  <c r="Z37" i="8"/>
  <c r="Z11" i="8"/>
  <c r="Z34" i="8"/>
  <c r="W62" i="8"/>
  <c r="W61" i="8"/>
  <c r="W63" i="8"/>
  <c r="W60" i="8"/>
  <c r="W66" i="8" s="1"/>
  <c r="AG4" i="8"/>
  <c r="Z13" i="8"/>
  <c r="Z5" i="8"/>
  <c r="Z33" i="8"/>
  <c r="Z30" i="8"/>
  <c r="Z36" i="8"/>
  <c r="Z28" i="8"/>
  <c r="Z24" i="8"/>
  <c r="Z18" i="8"/>
  <c r="Z19" i="8"/>
  <c r="Z9" i="8"/>
  <c r="Z12" i="8"/>
  <c r="Z8" i="8"/>
  <c r="Z4" i="8" l="1"/>
  <c r="W65" i="8"/>
  <c r="W64" i="8"/>
  <c r="N4" i="4" l="1"/>
  <c r="X4" i="4" s="1"/>
  <c r="AH4" i="4" s="1"/>
  <c r="W4" i="4" l="1"/>
  <c r="N5" i="4"/>
  <c r="X5" i="4" s="1"/>
  <c r="AH5" i="4" s="1"/>
  <c r="N6" i="4"/>
  <c r="X6" i="4" s="1"/>
  <c r="AH6" i="4" s="1"/>
  <c r="N7" i="4"/>
  <c r="X7" i="4" s="1"/>
  <c r="AH7" i="4" s="1"/>
  <c r="N8" i="4"/>
  <c r="X8" i="4" s="1"/>
  <c r="AH8" i="4" s="1"/>
  <c r="N9" i="4"/>
  <c r="X9" i="4" s="1"/>
  <c r="AH9" i="4" s="1"/>
  <c r="N10" i="4"/>
  <c r="X10" i="4" s="1"/>
  <c r="AH10" i="4" s="1"/>
  <c r="N11" i="4"/>
  <c r="X11" i="4" s="1"/>
  <c r="AH11" i="4" s="1"/>
  <c r="N12" i="4"/>
  <c r="X12" i="4" s="1"/>
  <c r="AH12" i="4" s="1"/>
  <c r="N13" i="4"/>
  <c r="X13" i="4" s="1"/>
  <c r="AH13" i="4" s="1"/>
  <c r="N14" i="4"/>
  <c r="X14" i="4" s="1"/>
  <c r="AH14" i="4" s="1"/>
  <c r="N15" i="4"/>
  <c r="X15" i="4" s="1"/>
  <c r="AH15" i="4" s="1"/>
  <c r="N16" i="4"/>
  <c r="X16" i="4" s="1"/>
  <c r="AH16" i="4" s="1"/>
  <c r="N17" i="4"/>
  <c r="X17" i="4" s="1"/>
  <c r="AH17" i="4" s="1"/>
  <c r="N18" i="4"/>
  <c r="X18" i="4" s="1"/>
  <c r="AH18" i="4" s="1"/>
  <c r="N19" i="4"/>
  <c r="X19" i="4" s="1"/>
  <c r="AH19" i="4" s="1"/>
  <c r="N20" i="4"/>
  <c r="X20" i="4" s="1"/>
  <c r="AH20" i="4" s="1"/>
  <c r="N21" i="4"/>
  <c r="X21" i="4" s="1"/>
  <c r="AH21" i="4" s="1"/>
  <c r="N22" i="4"/>
  <c r="X22" i="4" s="1"/>
  <c r="AH22" i="4" s="1"/>
  <c r="N23" i="4"/>
  <c r="X23" i="4" s="1"/>
  <c r="AH23" i="4" s="1"/>
  <c r="N24" i="4"/>
  <c r="X24" i="4" s="1"/>
  <c r="AH24" i="4" s="1"/>
  <c r="N25" i="4"/>
  <c r="X25" i="4" s="1"/>
  <c r="AH25" i="4" s="1"/>
  <c r="N26" i="4"/>
  <c r="X26" i="4" s="1"/>
  <c r="AH26" i="4" s="1"/>
  <c r="N27" i="4"/>
  <c r="X27" i="4" s="1"/>
  <c r="AH27" i="4" s="1"/>
  <c r="N28" i="4"/>
  <c r="X28" i="4" s="1"/>
  <c r="AH28" i="4" s="1"/>
  <c r="N29" i="4"/>
  <c r="X29" i="4" s="1"/>
  <c r="AH29" i="4" s="1"/>
  <c r="N30" i="4"/>
  <c r="X30" i="4" s="1"/>
  <c r="AH30" i="4" s="1"/>
  <c r="N31" i="4"/>
  <c r="X31" i="4" s="1"/>
  <c r="AH31" i="4" s="1"/>
  <c r="N32" i="4"/>
  <c r="X32" i="4" s="1"/>
  <c r="AH32" i="4" s="1"/>
  <c r="N33" i="4"/>
  <c r="X33" i="4" s="1"/>
  <c r="AH33" i="4" s="1"/>
  <c r="N34" i="4"/>
  <c r="X34" i="4" s="1"/>
  <c r="AH34" i="4" s="1"/>
  <c r="N35" i="4"/>
  <c r="X35" i="4" s="1"/>
  <c r="AH35" i="4" s="1"/>
  <c r="N36" i="4"/>
  <c r="X36" i="4" s="1"/>
  <c r="AH36" i="4" s="1"/>
  <c r="N37" i="4"/>
  <c r="X37" i="4" s="1"/>
  <c r="AH37" i="4" s="1"/>
  <c r="N38" i="4"/>
  <c r="X38" i="4" s="1"/>
  <c r="AH38" i="4" s="1"/>
  <c r="N39" i="4"/>
  <c r="X39" i="4" s="1"/>
  <c r="AH39" i="4" s="1"/>
  <c r="N40" i="4"/>
  <c r="X40" i="4" s="1"/>
  <c r="AH40" i="4" s="1"/>
  <c r="N41" i="4"/>
  <c r="X41" i="4" s="1"/>
  <c r="AH41" i="4" s="1"/>
  <c r="N42" i="4"/>
  <c r="X42" i="4" s="1"/>
  <c r="AH42" i="4" s="1"/>
  <c r="N43" i="4"/>
  <c r="X43" i="4" s="1"/>
  <c r="AH43" i="4" s="1"/>
  <c r="N44" i="4"/>
  <c r="X44" i="4" s="1"/>
  <c r="AH44" i="4" s="1"/>
  <c r="N45" i="4"/>
  <c r="X45" i="4" s="1"/>
  <c r="AH45" i="4" s="1"/>
  <c r="N46" i="4"/>
  <c r="X46" i="4" s="1"/>
  <c r="AH46" i="4" s="1"/>
  <c r="N47" i="4"/>
  <c r="X47" i="4" s="1"/>
  <c r="AH47" i="4" s="1"/>
  <c r="N48" i="4"/>
  <c r="X48" i="4" s="1"/>
  <c r="AH48" i="4" s="1"/>
  <c r="N49" i="4"/>
  <c r="X49" i="4" s="1"/>
  <c r="AH49" i="4" s="1"/>
  <c r="N50" i="4"/>
  <c r="X50" i="4" s="1"/>
  <c r="AH50" i="4" s="1"/>
  <c r="N51" i="4"/>
  <c r="X51" i="4" s="1"/>
  <c r="AH51" i="4" s="1"/>
  <c r="N52" i="4"/>
  <c r="X52" i="4" s="1"/>
  <c r="AH52" i="4" s="1"/>
  <c r="N53" i="4"/>
  <c r="X53" i="4" s="1"/>
  <c r="AH53" i="4" s="1"/>
  <c r="N54" i="4"/>
  <c r="X54" i="4" s="1"/>
  <c r="AH54" i="4" s="1"/>
  <c r="N55" i="4"/>
  <c r="X55" i="4" s="1"/>
  <c r="AH55" i="4" s="1"/>
  <c r="N56" i="4"/>
  <c r="X56" i="4" s="1"/>
  <c r="AH56" i="4" s="1"/>
  <c r="N57" i="4"/>
  <c r="X57" i="4" s="1"/>
  <c r="AH57" i="4" s="1"/>
  <c r="N58" i="4"/>
  <c r="X58" i="4" s="1"/>
  <c r="AH58" i="4" s="1"/>
  <c r="I5" i="4"/>
  <c r="I4" i="4"/>
  <c r="V4" i="4" l="1"/>
  <c r="U37" i="4" l="1"/>
  <c r="V37" i="4"/>
  <c r="AF37" i="4" s="1"/>
  <c r="AI37" i="4" s="1"/>
  <c r="W37" i="4"/>
  <c r="AE37" i="4" s="1"/>
  <c r="AG37" i="4"/>
  <c r="U38" i="4"/>
  <c r="AG38" i="4" s="1"/>
  <c r="V38" i="4"/>
  <c r="AF38" i="4" s="1"/>
  <c r="AI38" i="4" s="1"/>
  <c r="W38" i="4"/>
  <c r="AE38" i="4" s="1"/>
  <c r="U39" i="4"/>
  <c r="AG39" i="4" s="1"/>
  <c r="V39" i="4"/>
  <c r="W39" i="4"/>
  <c r="AE39" i="4" s="1"/>
  <c r="AF39" i="4"/>
  <c r="AI39" i="4" s="1"/>
  <c r="U40" i="4"/>
  <c r="V40" i="4"/>
  <c r="W40" i="4"/>
  <c r="AE40" i="4" s="1"/>
  <c r="AF40" i="4"/>
  <c r="AI40" i="4" s="1"/>
  <c r="AG40" i="4"/>
  <c r="R41" i="4"/>
  <c r="AB41" i="4" s="1"/>
  <c r="U41" i="4"/>
  <c r="V41" i="4"/>
  <c r="AF41" i="4" s="1"/>
  <c r="AI41" i="4" s="1"/>
  <c r="W41" i="4"/>
  <c r="AE41" i="4" s="1"/>
  <c r="AG41" i="4"/>
  <c r="U42" i="4"/>
  <c r="AG42" i="4" s="1"/>
  <c r="V42" i="4"/>
  <c r="AF42" i="4" s="1"/>
  <c r="AI42" i="4" s="1"/>
  <c r="W42" i="4"/>
  <c r="AE42" i="4" s="1"/>
  <c r="U43" i="4"/>
  <c r="AG43" i="4" s="1"/>
  <c r="V43" i="4"/>
  <c r="AF43" i="4" s="1"/>
  <c r="AI43" i="4" s="1"/>
  <c r="W43" i="4"/>
  <c r="AE43" i="4" s="1"/>
  <c r="U44" i="4"/>
  <c r="V44" i="4"/>
  <c r="AF44" i="4" s="1"/>
  <c r="AI44" i="4" s="1"/>
  <c r="W44" i="4"/>
  <c r="AE44" i="4" s="1"/>
  <c r="AG44" i="4"/>
  <c r="Q45" i="4"/>
  <c r="AA45" i="4" s="1"/>
  <c r="U45" i="4"/>
  <c r="AG45" i="4" s="1"/>
  <c r="V45" i="4"/>
  <c r="AF45" i="4" s="1"/>
  <c r="AI45" i="4" s="1"/>
  <c r="W45" i="4"/>
  <c r="AE45" i="4" s="1"/>
  <c r="U46" i="4"/>
  <c r="AG46" i="4" s="1"/>
  <c r="V46" i="4"/>
  <c r="AF46" i="4" s="1"/>
  <c r="AI46" i="4" s="1"/>
  <c r="W46" i="4"/>
  <c r="AE46" i="4" s="1"/>
  <c r="U47" i="4"/>
  <c r="V47" i="4"/>
  <c r="AF47" i="4" s="1"/>
  <c r="AI47" i="4" s="1"/>
  <c r="W47" i="4"/>
  <c r="AE47" i="4" s="1"/>
  <c r="AG47" i="4"/>
  <c r="U48" i="4"/>
  <c r="V48" i="4"/>
  <c r="AF48" i="4" s="1"/>
  <c r="AI48" i="4" s="1"/>
  <c r="W48" i="4"/>
  <c r="AE48" i="4" s="1"/>
  <c r="AG48" i="4"/>
  <c r="U49" i="4"/>
  <c r="AG49" i="4" s="1"/>
  <c r="V49" i="4"/>
  <c r="AF49" i="4" s="1"/>
  <c r="AI49" i="4" s="1"/>
  <c r="W49" i="4"/>
  <c r="AE49" i="4" s="1"/>
  <c r="U50" i="4"/>
  <c r="AG50" i="4" s="1"/>
  <c r="V50" i="4"/>
  <c r="AF50" i="4" s="1"/>
  <c r="AI50" i="4" s="1"/>
  <c r="W50" i="4"/>
  <c r="AE50" i="4" s="1"/>
  <c r="U51" i="4"/>
  <c r="AG51" i="4" s="1"/>
  <c r="V51" i="4"/>
  <c r="AF51" i="4" s="1"/>
  <c r="AI51" i="4" s="1"/>
  <c r="W51" i="4"/>
  <c r="AE51" i="4" s="1"/>
  <c r="U52" i="4"/>
  <c r="V52" i="4"/>
  <c r="AF52" i="4" s="1"/>
  <c r="AI52" i="4" s="1"/>
  <c r="W52" i="4"/>
  <c r="AE52" i="4" s="1"/>
  <c r="AG52" i="4"/>
  <c r="U53" i="4"/>
  <c r="AG53" i="4" s="1"/>
  <c r="V53" i="4"/>
  <c r="AF53" i="4" s="1"/>
  <c r="AI53" i="4" s="1"/>
  <c r="W53" i="4"/>
  <c r="AE53" i="4" s="1"/>
  <c r="U54" i="4"/>
  <c r="AG54" i="4" s="1"/>
  <c r="V54" i="4"/>
  <c r="AF54" i="4" s="1"/>
  <c r="AI54" i="4" s="1"/>
  <c r="W54" i="4"/>
  <c r="AE54" i="4" s="1"/>
  <c r="T55" i="4"/>
  <c r="AD55" i="4" s="1"/>
  <c r="U55" i="4"/>
  <c r="V55" i="4"/>
  <c r="W55" i="4"/>
  <c r="AE55" i="4" s="1"/>
  <c r="AF55" i="4"/>
  <c r="AI55" i="4" s="1"/>
  <c r="AG55" i="4"/>
  <c r="U56" i="4"/>
  <c r="V56" i="4"/>
  <c r="AF56" i="4" s="1"/>
  <c r="AI56" i="4" s="1"/>
  <c r="W56" i="4"/>
  <c r="AE56" i="4" s="1"/>
  <c r="AG56" i="4"/>
  <c r="U57" i="4"/>
  <c r="AG57" i="4" s="1"/>
  <c r="V57" i="4"/>
  <c r="AF57" i="4" s="1"/>
  <c r="AI57" i="4" s="1"/>
  <c r="W57" i="4"/>
  <c r="AE57" i="4" s="1"/>
  <c r="U58" i="4"/>
  <c r="AG58" i="4" s="1"/>
  <c r="V58" i="4"/>
  <c r="AF58" i="4" s="1"/>
  <c r="W58" i="4"/>
  <c r="AE58" i="4" s="1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Q37" i="4" s="1"/>
  <c r="AA37" i="4" s="1"/>
  <c r="I38" i="4"/>
  <c r="S38" i="4" s="1"/>
  <c r="AC38" i="4" s="1"/>
  <c r="I39" i="4"/>
  <c r="T39" i="4" s="1"/>
  <c r="AD39" i="4" s="1"/>
  <c r="I40" i="4"/>
  <c r="T40" i="4" s="1"/>
  <c r="AD40" i="4" s="1"/>
  <c r="I41" i="4"/>
  <c r="S41" i="4" s="1"/>
  <c r="AC41" i="4" s="1"/>
  <c r="I42" i="4"/>
  <c r="S42" i="4" s="1"/>
  <c r="AC42" i="4" s="1"/>
  <c r="I43" i="4"/>
  <c r="S43" i="4" s="1"/>
  <c r="AC43" i="4" s="1"/>
  <c r="I44" i="4"/>
  <c r="S44" i="4" s="1"/>
  <c r="AC44" i="4" s="1"/>
  <c r="I45" i="4"/>
  <c r="R45" i="4" s="1"/>
  <c r="AB45" i="4" s="1"/>
  <c r="I46" i="4"/>
  <c r="S46" i="4" s="1"/>
  <c r="AC46" i="4" s="1"/>
  <c r="I47" i="4"/>
  <c r="S47" i="4" s="1"/>
  <c r="AC47" i="4" s="1"/>
  <c r="I48" i="4"/>
  <c r="R48" i="4" s="1"/>
  <c r="AB48" i="4" s="1"/>
  <c r="I49" i="4"/>
  <c r="Q49" i="4" s="1"/>
  <c r="AA49" i="4" s="1"/>
  <c r="I50" i="4"/>
  <c r="R50" i="4" s="1"/>
  <c r="AB50" i="4" s="1"/>
  <c r="I51" i="4"/>
  <c r="R51" i="4" s="1"/>
  <c r="AB51" i="4" s="1"/>
  <c r="I52" i="4"/>
  <c r="Q52" i="4" s="1"/>
  <c r="AA52" i="4" s="1"/>
  <c r="I53" i="4"/>
  <c r="T53" i="4" s="1"/>
  <c r="AD53" i="4" s="1"/>
  <c r="I54" i="4"/>
  <c r="Q54" i="4" s="1"/>
  <c r="AA54" i="4" s="1"/>
  <c r="I55" i="4"/>
  <c r="Q55" i="4" s="1"/>
  <c r="AA55" i="4" s="1"/>
  <c r="I56" i="4"/>
  <c r="T56" i="4" s="1"/>
  <c r="AD56" i="4" s="1"/>
  <c r="I57" i="4"/>
  <c r="S57" i="4" s="1"/>
  <c r="AC57" i="4" s="1"/>
  <c r="I58" i="4"/>
  <c r="T58" i="4" s="1"/>
  <c r="AD58" i="4" s="1"/>
  <c r="Q38" i="4" l="1"/>
  <c r="AA38" i="4" s="1"/>
  <c r="R58" i="4"/>
  <c r="AB58" i="4" s="1"/>
  <c r="R57" i="4"/>
  <c r="AB57" i="4" s="1"/>
  <c r="T54" i="4"/>
  <c r="AD54" i="4" s="1"/>
  <c r="Q51" i="4"/>
  <c r="AA51" i="4" s="1"/>
  <c r="T50" i="4"/>
  <c r="AD50" i="4" s="1"/>
  <c r="R47" i="4"/>
  <c r="AB47" i="4" s="1"/>
  <c r="Q41" i="4"/>
  <c r="AA41" i="4" s="1"/>
  <c r="S58" i="4"/>
  <c r="AC58" i="4" s="1"/>
  <c r="Q57" i="4"/>
  <c r="AA57" i="4" s="1"/>
  <c r="S54" i="4"/>
  <c r="AC54" i="4" s="1"/>
  <c r="S53" i="4"/>
  <c r="AC53" i="4" s="1"/>
  <c r="Q50" i="4"/>
  <c r="AA50" i="4" s="1"/>
  <c r="T49" i="4"/>
  <c r="AD49" i="4" s="1"/>
  <c r="R46" i="4"/>
  <c r="AB46" i="4" s="1"/>
  <c r="R43" i="4"/>
  <c r="AB43" i="4" s="1"/>
  <c r="R42" i="4"/>
  <c r="AB42" i="4" s="1"/>
  <c r="T37" i="4"/>
  <c r="AD37" i="4" s="1"/>
  <c r="R53" i="4"/>
  <c r="AB53" i="4" s="1"/>
  <c r="S49" i="4"/>
  <c r="AC49" i="4" s="1"/>
  <c r="Q46" i="4"/>
  <c r="AA46" i="4" s="1"/>
  <c r="T45" i="4"/>
  <c r="AD45" i="4" s="1"/>
  <c r="Q42" i="4"/>
  <c r="AA42" i="4" s="1"/>
  <c r="S39" i="4"/>
  <c r="AC39" i="4" s="1"/>
  <c r="R38" i="4"/>
  <c r="AB38" i="4" s="1"/>
  <c r="S37" i="4"/>
  <c r="AC37" i="4" s="1"/>
  <c r="T52" i="4"/>
  <c r="AD52" i="4" s="1"/>
  <c r="Q48" i="4"/>
  <c r="AA48" i="4" s="1"/>
  <c r="R56" i="4"/>
  <c r="AB56" i="4" s="1"/>
  <c r="S55" i="4"/>
  <c r="AC55" i="4" s="1"/>
  <c r="S52" i="4"/>
  <c r="AC52" i="4" s="1"/>
  <c r="T51" i="4"/>
  <c r="AD51" i="4" s="1"/>
  <c r="Q44" i="4"/>
  <c r="AA44" i="4" s="1"/>
  <c r="Q43" i="4"/>
  <c r="AA43" i="4" s="1"/>
  <c r="R40" i="4"/>
  <c r="AB40" i="4" s="1"/>
  <c r="R39" i="4"/>
  <c r="AB39" i="4" s="1"/>
  <c r="Q58" i="4"/>
  <c r="AA58" i="4" s="1"/>
  <c r="T57" i="4"/>
  <c r="AD57" i="4" s="1"/>
  <c r="Q56" i="4"/>
  <c r="AA56" i="4" s="1"/>
  <c r="R55" i="4"/>
  <c r="AB55" i="4" s="1"/>
  <c r="R54" i="4"/>
  <c r="AB54" i="4" s="1"/>
  <c r="Q53" i="4"/>
  <c r="AA53" i="4" s="1"/>
  <c r="R52" i="4"/>
  <c r="AB52" i="4" s="1"/>
  <c r="Y52" i="4" s="1"/>
  <c r="S51" i="4"/>
  <c r="AC51" i="4" s="1"/>
  <c r="S50" i="4"/>
  <c r="AC50" i="4" s="1"/>
  <c r="R49" i="4"/>
  <c r="AB49" i="4" s="1"/>
  <c r="S48" i="4"/>
  <c r="AC48" i="4" s="1"/>
  <c r="T47" i="4"/>
  <c r="AD47" i="4" s="1"/>
  <c r="T46" i="4"/>
  <c r="AD46" i="4" s="1"/>
  <c r="S45" i="4"/>
  <c r="AC45" i="4" s="1"/>
  <c r="T44" i="4"/>
  <c r="AD44" i="4" s="1"/>
  <c r="T43" i="4"/>
  <c r="AD43" i="4" s="1"/>
  <c r="T42" i="4"/>
  <c r="AD42" i="4" s="1"/>
  <c r="T41" i="4"/>
  <c r="AD41" i="4" s="1"/>
  <c r="Q40" i="4"/>
  <c r="AA40" i="4" s="1"/>
  <c r="Q39" i="4"/>
  <c r="AA39" i="4" s="1"/>
  <c r="T38" i="4"/>
  <c r="AD38" i="4" s="1"/>
  <c r="R37" i="4"/>
  <c r="AB37" i="4" s="1"/>
  <c r="S56" i="4"/>
  <c r="AC56" i="4" s="1"/>
  <c r="R44" i="4"/>
  <c r="AB44" i="4" s="1"/>
  <c r="S40" i="4"/>
  <c r="AC40" i="4" s="1"/>
  <c r="T48" i="4"/>
  <c r="AD48" i="4" s="1"/>
  <c r="Q47" i="4"/>
  <c r="AA47" i="4" s="1"/>
  <c r="T36" i="4"/>
  <c r="AD36" i="4" s="1"/>
  <c r="W36" i="4"/>
  <c r="AE36" i="4" s="1"/>
  <c r="S36" i="4"/>
  <c r="AC36" i="4" s="1"/>
  <c r="U35" i="4"/>
  <c r="AG35" i="4" s="1"/>
  <c r="T35" i="4"/>
  <c r="AD35" i="4" s="1"/>
  <c r="Q35" i="4"/>
  <c r="AA35" i="4" s="1"/>
  <c r="W35" i="4"/>
  <c r="AE35" i="4" s="1"/>
  <c r="S35" i="4"/>
  <c r="AC35" i="4" s="1"/>
  <c r="V34" i="4"/>
  <c r="AF34" i="4" s="1"/>
  <c r="AI34" i="4" s="1"/>
  <c r="U34" i="4"/>
  <c r="AG34" i="4" s="1"/>
  <c r="T34" i="4"/>
  <c r="AD34" i="4" s="1"/>
  <c r="R34" i="4"/>
  <c r="AB34" i="4" s="1"/>
  <c r="Q34" i="4"/>
  <c r="AA34" i="4" s="1"/>
  <c r="W34" i="4"/>
  <c r="AE34" i="4" s="1"/>
  <c r="S34" i="4"/>
  <c r="AC34" i="4" s="1"/>
  <c r="W33" i="4"/>
  <c r="AE33" i="4" s="1"/>
  <c r="V33" i="4"/>
  <c r="AF33" i="4" s="1"/>
  <c r="AI33" i="4" s="1"/>
  <c r="U33" i="4"/>
  <c r="AG33" i="4" s="1"/>
  <c r="R33" i="4"/>
  <c r="AB33" i="4" s="1"/>
  <c r="T32" i="4"/>
  <c r="AD32" i="4" s="1"/>
  <c r="W32" i="4"/>
  <c r="AE32" i="4" s="1"/>
  <c r="S32" i="4"/>
  <c r="AC32" i="4" s="1"/>
  <c r="U31" i="4"/>
  <c r="AG31" i="4" s="1"/>
  <c r="T31" i="4"/>
  <c r="AD31" i="4" s="1"/>
  <c r="Q31" i="4"/>
  <c r="AA31" i="4" s="1"/>
  <c r="W31" i="4"/>
  <c r="AE31" i="4" s="1"/>
  <c r="S31" i="4"/>
  <c r="AC31" i="4" s="1"/>
  <c r="V30" i="4"/>
  <c r="AF30" i="4" s="1"/>
  <c r="AI30" i="4" s="1"/>
  <c r="U30" i="4"/>
  <c r="AG30" i="4" s="1"/>
  <c r="T30" i="4"/>
  <c r="AD30" i="4" s="1"/>
  <c r="R30" i="4"/>
  <c r="AB30" i="4" s="1"/>
  <c r="Q30" i="4"/>
  <c r="AA30" i="4" s="1"/>
  <c r="W30" i="4"/>
  <c r="AE30" i="4" s="1"/>
  <c r="S30" i="4"/>
  <c r="AC30" i="4" s="1"/>
  <c r="Y51" i="4" l="1"/>
  <c r="Y41" i="4"/>
  <c r="Y58" i="4"/>
  <c r="Y57" i="4"/>
  <c r="Y56" i="4"/>
  <c r="Y55" i="4"/>
  <c r="Y54" i="4"/>
  <c r="Y53" i="4"/>
  <c r="Y50" i="4"/>
  <c r="Y49" i="4"/>
  <c r="Y48" i="4"/>
  <c r="Y47" i="4"/>
  <c r="Y46" i="4"/>
  <c r="Y45" i="4"/>
  <c r="Y44" i="4"/>
  <c r="Y43" i="4"/>
  <c r="Y42" i="4"/>
  <c r="Y40" i="4"/>
  <c r="Y39" i="4"/>
  <c r="Y38" i="4"/>
  <c r="Y37" i="4"/>
  <c r="Y34" i="4"/>
  <c r="Y30" i="4"/>
  <c r="R31" i="4"/>
  <c r="AB31" i="4" s="1"/>
  <c r="V31" i="4"/>
  <c r="AF31" i="4" s="1"/>
  <c r="AI31" i="4" s="1"/>
  <c r="Q32" i="4"/>
  <c r="AA32" i="4" s="1"/>
  <c r="U32" i="4"/>
  <c r="AG32" i="4" s="1"/>
  <c r="T33" i="4"/>
  <c r="AD33" i="4" s="1"/>
  <c r="R35" i="4"/>
  <c r="AB35" i="4" s="1"/>
  <c r="V35" i="4"/>
  <c r="AF35" i="4" s="1"/>
  <c r="AI35" i="4" s="1"/>
  <c r="Q36" i="4"/>
  <c r="AA36" i="4" s="1"/>
  <c r="U36" i="4"/>
  <c r="AG36" i="4" s="1"/>
  <c r="R32" i="4"/>
  <c r="AB32" i="4" s="1"/>
  <c r="V32" i="4"/>
  <c r="AF32" i="4" s="1"/>
  <c r="AI32" i="4" s="1"/>
  <c r="Q33" i="4"/>
  <c r="AA33" i="4" s="1"/>
  <c r="R36" i="4"/>
  <c r="AB36" i="4" s="1"/>
  <c r="V36" i="4"/>
  <c r="AF36" i="4" s="1"/>
  <c r="AI36" i="4" s="1"/>
  <c r="S33" i="4"/>
  <c r="AC33" i="4" s="1"/>
  <c r="Y33" i="4" l="1"/>
  <c r="Y36" i="4"/>
  <c r="Y32" i="4"/>
  <c r="Y35" i="4"/>
  <c r="Y31" i="4"/>
  <c r="V4" i="1"/>
  <c r="U11" i="4" l="1"/>
  <c r="AG11" i="4" s="1"/>
  <c r="V12" i="4"/>
  <c r="AF12" i="4" s="1"/>
  <c r="AI12" i="4" s="1"/>
  <c r="V13" i="4"/>
  <c r="AF13" i="4" s="1"/>
  <c r="AI13" i="4" s="1"/>
  <c r="U14" i="4"/>
  <c r="AG14" i="4" s="1"/>
  <c r="U15" i="4"/>
  <c r="AG15" i="4" s="1"/>
  <c r="V16" i="4"/>
  <c r="AF16" i="4" s="1"/>
  <c r="AI16" i="4" s="1"/>
  <c r="U17" i="4"/>
  <c r="AG17" i="4" s="1"/>
  <c r="U18" i="4"/>
  <c r="AG18" i="4" s="1"/>
  <c r="U19" i="4"/>
  <c r="AG19" i="4" s="1"/>
  <c r="U20" i="4"/>
  <c r="AG20" i="4" s="1"/>
  <c r="V21" i="4"/>
  <c r="AF21" i="4" s="1"/>
  <c r="AI21" i="4" s="1"/>
  <c r="U22" i="4"/>
  <c r="AG22" i="4" s="1"/>
  <c r="U23" i="4"/>
  <c r="AG23" i="4" s="1"/>
  <c r="U24" i="4"/>
  <c r="AG24" i="4" s="1"/>
  <c r="V25" i="4"/>
  <c r="AF25" i="4" s="1"/>
  <c r="AI25" i="4" s="1"/>
  <c r="U26" i="4"/>
  <c r="AG26" i="4" s="1"/>
  <c r="U27" i="4"/>
  <c r="AG27" i="4" s="1"/>
  <c r="U28" i="4"/>
  <c r="AG28" i="4" s="1"/>
  <c r="V29" i="4"/>
  <c r="AF29" i="4" s="1"/>
  <c r="AI29" i="4" s="1"/>
  <c r="Q11" i="4"/>
  <c r="AA11" i="4" s="1"/>
  <c r="Q12" i="4"/>
  <c r="AA12" i="4" s="1"/>
  <c r="T13" i="4"/>
  <c r="AD13" i="4" s="1"/>
  <c r="R14" i="4"/>
  <c r="AB14" i="4" s="1"/>
  <c r="R15" i="4"/>
  <c r="AB15" i="4" s="1"/>
  <c r="Q16" i="4"/>
  <c r="AA16" i="4" s="1"/>
  <c r="Q17" i="4"/>
  <c r="AA17" i="4" s="1"/>
  <c r="Q18" i="4"/>
  <c r="AA18" i="4" s="1"/>
  <c r="Q19" i="4"/>
  <c r="AA19" i="4" s="1"/>
  <c r="S20" i="4"/>
  <c r="AC20" i="4" s="1"/>
  <c r="Q21" i="4"/>
  <c r="AA21" i="4" s="1"/>
  <c r="S22" i="4"/>
  <c r="AC22" i="4" s="1"/>
  <c r="R23" i="4"/>
  <c r="AB23" i="4" s="1"/>
  <c r="R24" i="4"/>
  <c r="AB24" i="4" s="1"/>
  <c r="Q25" i="4"/>
  <c r="AA25" i="4" s="1"/>
  <c r="Q26" i="4"/>
  <c r="AA26" i="4" s="1"/>
  <c r="T27" i="4"/>
  <c r="AD27" i="4" s="1"/>
  <c r="Q28" i="4"/>
  <c r="AA28" i="4" s="1"/>
  <c r="S29" i="4"/>
  <c r="AC29" i="4" s="1"/>
  <c r="W24" i="4" l="1"/>
  <c r="AE24" i="4" s="1"/>
  <c r="V22" i="4"/>
  <c r="AF22" i="4" s="1"/>
  <c r="AI22" i="4" s="1"/>
  <c r="W18" i="4"/>
  <c r="AE18" i="4" s="1"/>
  <c r="V15" i="4"/>
  <c r="AF15" i="4" s="1"/>
  <c r="AI15" i="4" s="1"/>
  <c r="W14" i="4"/>
  <c r="AE14" i="4" s="1"/>
  <c r="V14" i="4"/>
  <c r="AF14" i="4" s="1"/>
  <c r="AI14" i="4" s="1"/>
  <c r="W11" i="4"/>
  <c r="AE11" i="4" s="1"/>
  <c r="R21" i="4"/>
  <c r="AB21" i="4" s="1"/>
  <c r="T20" i="4"/>
  <c r="AD20" i="4" s="1"/>
  <c r="R28" i="4"/>
  <c r="AB28" i="4" s="1"/>
  <c r="T26" i="4"/>
  <c r="AD26" i="4" s="1"/>
  <c r="S24" i="4"/>
  <c r="AC24" i="4" s="1"/>
  <c r="S12" i="4"/>
  <c r="AC12" i="4" s="1"/>
  <c r="Q23" i="4"/>
  <c r="AA23" i="4" s="1"/>
  <c r="T29" i="4"/>
  <c r="AD29" i="4" s="1"/>
  <c r="T22" i="4"/>
  <c r="AD22" i="4" s="1"/>
  <c r="S14" i="4"/>
  <c r="AC14" i="4" s="1"/>
  <c r="Q14" i="4"/>
  <c r="AA14" i="4" s="1"/>
  <c r="R26" i="4"/>
  <c r="AB26" i="4" s="1"/>
  <c r="R19" i="4"/>
  <c r="AB19" i="4" s="1"/>
  <c r="V18" i="4"/>
  <c r="AF18" i="4" s="1"/>
  <c r="AI18" i="4" s="1"/>
  <c r="W27" i="4"/>
  <c r="AE27" i="4" s="1"/>
  <c r="W26" i="4"/>
  <c r="AE26" i="4" s="1"/>
  <c r="T17" i="4"/>
  <c r="AD17" i="4" s="1"/>
  <c r="R29" i="4"/>
  <c r="AB29" i="4" s="1"/>
  <c r="S27" i="4"/>
  <c r="AC27" i="4" s="1"/>
  <c r="T25" i="4"/>
  <c r="AD25" i="4" s="1"/>
  <c r="Q24" i="4"/>
  <c r="AA24" i="4" s="1"/>
  <c r="R22" i="4"/>
  <c r="AB22" i="4" s="1"/>
  <c r="R20" i="4"/>
  <c r="AB20" i="4" s="1"/>
  <c r="T18" i="4"/>
  <c r="AD18" i="4" s="1"/>
  <c r="T16" i="4"/>
  <c r="AD16" i="4" s="1"/>
  <c r="Q15" i="4"/>
  <c r="AA15" i="4" s="1"/>
  <c r="S13" i="4"/>
  <c r="AC13" i="4" s="1"/>
  <c r="T11" i="4"/>
  <c r="AD11" i="4" s="1"/>
  <c r="Q29" i="4"/>
  <c r="AA29" i="4" s="1"/>
  <c r="R27" i="4"/>
  <c r="AB27" i="4" s="1"/>
  <c r="S25" i="4"/>
  <c r="AC25" i="4" s="1"/>
  <c r="T23" i="4"/>
  <c r="AD23" i="4" s="1"/>
  <c r="Q22" i="4"/>
  <c r="AA22" i="4" s="1"/>
  <c r="Q20" i="4"/>
  <c r="AA20" i="4" s="1"/>
  <c r="S18" i="4"/>
  <c r="AC18" i="4" s="1"/>
  <c r="S16" i="4"/>
  <c r="AC16" i="4" s="1"/>
  <c r="R13" i="4"/>
  <c r="AB13" i="4" s="1"/>
  <c r="S11" i="4"/>
  <c r="AC11" i="4" s="1"/>
  <c r="T28" i="4"/>
  <c r="AD28" i="4" s="1"/>
  <c r="Q27" i="4"/>
  <c r="AA27" i="4" s="1"/>
  <c r="R25" i="4"/>
  <c r="AB25" i="4" s="1"/>
  <c r="S23" i="4"/>
  <c r="AC23" i="4" s="1"/>
  <c r="T21" i="4"/>
  <c r="AD21" i="4" s="1"/>
  <c r="T19" i="4"/>
  <c r="AD19" i="4" s="1"/>
  <c r="R18" i="4"/>
  <c r="AB18" i="4" s="1"/>
  <c r="R16" i="4"/>
  <c r="AB16" i="4" s="1"/>
  <c r="Q13" i="4"/>
  <c r="AA13" i="4" s="1"/>
  <c r="R11" i="4"/>
  <c r="AB11" i="4" s="1"/>
  <c r="S28" i="4"/>
  <c r="AC28" i="4" s="1"/>
  <c r="S21" i="4"/>
  <c r="AC21" i="4" s="1"/>
  <c r="S19" i="4"/>
  <c r="AC19" i="4" s="1"/>
  <c r="T14" i="4"/>
  <c r="AD14" i="4" s="1"/>
  <c r="T12" i="4"/>
  <c r="AD12" i="4" s="1"/>
  <c r="S26" i="4"/>
  <c r="AC26" i="4" s="1"/>
  <c r="T24" i="4"/>
  <c r="AD24" i="4" s="1"/>
  <c r="S17" i="4"/>
  <c r="AC17" i="4" s="1"/>
  <c r="T15" i="4"/>
  <c r="AD15" i="4" s="1"/>
  <c r="R12" i="4"/>
  <c r="AB12" i="4" s="1"/>
  <c r="R17" i="4"/>
  <c r="AB17" i="4" s="1"/>
  <c r="S15" i="4"/>
  <c r="AC15" i="4" s="1"/>
  <c r="V23" i="4"/>
  <c r="AF23" i="4" s="1"/>
  <c r="AI23" i="4" s="1"/>
  <c r="W19" i="4"/>
  <c r="AE19" i="4" s="1"/>
  <c r="W16" i="4"/>
  <c r="AE16" i="4" s="1"/>
  <c r="W28" i="4"/>
  <c r="AE28" i="4" s="1"/>
  <c r="V26" i="4"/>
  <c r="AF26" i="4" s="1"/>
  <c r="AI26" i="4" s="1"/>
  <c r="W22" i="4"/>
  <c r="AE22" i="4" s="1"/>
  <c r="V19" i="4"/>
  <c r="AF19" i="4" s="1"/>
  <c r="AI19" i="4" s="1"/>
  <c r="W15" i="4"/>
  <c r="AE15" i="4" s="1"/>
  <c r="W12" i="4"/>
  <c r="AE12" i="4" s="1"/>
  <c r="V27" i="4"/>
  <c r="AF27" i="4" s="1"/>
  <c r="AI27" i="4" s="1"/>
  <c r="W23" i="4"/>
  <c r="AE23" i="4" s="1"/>
  <c r="W20" i="4"/>
  <c r="AE20" i="4" s="1"/>
  <c r="V11" i="4"/>
  <c r="AF11" i="4" s="1"/>
  <c r="AI11" i="4" s="1"/>
  <c r="W29" i="4"/>
  <c r="AE29" i="4" s="1"/>
  <c r="W21" i="4"/>
  <c r="AE21" i="4" s="1"/>
  <c r="W17" i="4"/>
  <c r="AE17" i="4" s="1"/>
  <c r="V28" i="4"/>
  <c r="AF28" i="4" s="1"/>
  <c r="AI28" i="4" s="1"/>
  <c r="V24" i="4"/>
  <c r="AF24" i="4" s="1"/>
  <c r="AI24" i="4" s="1"/>
  <c r="V20" i="4"/>
  <c r="AF20" i="4" s="1"/>
  <c r="AI20" i="4" s="1"/>
  <c r="V17" i="4"/>
  <c r="AF17" i="4" s="1"/>
  <c r="AI17" i="4" s="1"/>
  <c r="U29" i="4"/>
  <c r="AG29" i="4" s="1"/>
  <c r="U25" i="4"/>
  <c r="AG25" i="4" s="1"/>
  <c r="U21" i="4"/>
  <c r="AG21" i="4" s="1"/>
  <c r="U16" i="4"/>
  <c r="AG16" i="4" s="1"/>
  <c r="U13" i="4"/>
  <c r="AG13" i="4" s="1"/>
  <c r="U12" i="4"/>
  <c r="AG12" i="4" s="1"/>
  <c r="W25" i="4"/>
  <c r="AE25" i="4" s="1"/>
  <c r="W13" i="4"/>
  <c r="AE13" i="4" s="1"/>
  <c r="U10" i="4"/>
  <c r="AG10" i="4" s="1"/>
  <c r="S10" i="4"/>
  <c r="AC10" i="4" s="1"/>
  <c r="W9" i="4"/>
  <c r="AE9" i="4" s="1"/>
  <c r="S9" i="4"/>
  <c r="AC9" i="4" s="1"/>
  <c r="W8" i="4"/>
  <c r="AE8" i="4" s="1"/>
  <c r="S8" i="4"/>
  <c r="AC8" i="4" s="1"/>
  <c r="V7" i="4"/>
  <c r="AF7" i="4" s="1"/>
  <c r="AI7" i="4" s="1"/>
  <c r="T7" i="4"/>
  <c r="AD7" i="4" s="1"/>
  <c r="U6" i="4"/>
  <c r="AG6" i="4" s="1"/>
  <c r="Q6" i="4"/>
  <c r="AA6" i="4" s="1"/>
  <c r="V5" i="4"/>
  <c r="S5" i="4"/>
  <c r="AC5" i="4" s="1"/>
  <c r="U4" i="4"/>
  <c r="AG4" i="4" s="1"/>
  <c r="S4" i="4"/>
  <c r="AC4" i="4" s="1"/>
  <c r="Y13" i="4" l="1"/>
  <c r="Y15" i="4"/>
  <c r="Y23" i="4"/>
  <c r="Y29" i="4"/>
  <c r="Y22" i="4"/>
  <c r="Y19" i="4"/>
  <c r="Y14" i="4"/>
  <c r="Y12" i="4"/>
  <c r="Y17" i="4"/>
  <c r="Y20" i="4"/>
  <c r="Y28" i="4"/>
  <c r="Y26" i="4"/>
  <c r="Y11" i="4"/>
  <c r="Y18" i="4"/>
  <c r="Y25" i="4"/>
  <c r="Y21" i="4"/>
  <c r="Y16" i="4"/>
  <c r="Y27" i="4"/>
  <c r="Y24" i="4"/>
  <c r="AF5" i="4"/>
  <c r="AI5" i="4" s="1"/>
  <c r="Q8" i="4"/>
  <c r="AA8" i="4" s="1"/>
  <c r="R6" i="4"/>
  <c r="AB6" i="4" s="1"/>
  <c r="Q4" i="4"/>
  <c r="AA4" i="4" s="1"/>
  <c r="R4" i="4"/>
  <c r="AB4" i="4" s="1"/>
  <c r="Q7" i="4"/>
  <c r="AA7" i="4" s="1"/>
  <c r="V10" i="4"/>
  <c r="AF10" i="4" s="1"/>
  <c r="AI10" i="4" s="1"/>
  <c r="W6" i="4"/>
  <c r="AE6" i="4" s="1"/>
  <c r="W7" i="4"/>
  <c r="AE7" i="4" s="1"/>
  <c r="W5" i="4"/>
  <c r="AE5" i="4" s="1"/>
  <c r="V6" i="4"/>
  <c r="AF6" i="4" s="1"/>
  <c r="AI6" i="4" s="1"/>
  <c r="U8" i="4"/>
  <c r="AG8" i="4" s="1"/>
  <c r="U7" i="4"/>
  <c r="AG7" i="4" s="1"/>
  <c r="W10" i="4"/>
  <c r="AE10" i="4" s="1"/>
  <c r="T4" i="4"/>
  <c r="AD4" i="4" s="1"/>
  <c r="R7" i="4"/>
  <c r="AB7" i="4" s="1"/>
  <c r="R8" i="4"/>
  <c r="AB8" i="4" s="1"/>
  <c r="T8" i="4"/>
  <c r="AD8" i="4" s="1"/>
  <c r="T9" i="4"/>
  <c r="AD9" i="4" s="1"/>
  <c r="T5" i="4"/>
  <c r="AD5" i="4" s="1"/>
  <c r="S6" i="4"/>
  <c r="AC6" i="4" s="1"/>
  <c r="AF4" i="4"/>
  <c r="Q5" i="4"/>
  <c r="AA5" i="4" s="1"/>
  <c r="U5" i="4"/>
  <c r="AG5" i="4" s="1"/>
  <c r="T6" i="4"/>
  <c r="AD6" i="4" s="1"/>
  <c r="S7" i="4"/>
  <c r="AC7" i="4" s="1"/>
  <c r="V8" i="4"/>
  <c r="AF8" i="4" s="1"/>
  <c r="AI8" i="4" s="1"/>
  <c r="Q9" i="4"/>
  <c r="AA9" i="4" s="1"/>
  <c r="U9" i="4"/>
  <c r="AG9" i="4" s="1"/>
  <c r="T10" i="4"/>
  <c r="AD10" i="4" s="1"/>
  <c r="AE4" i="4"/>
  <c r="R5" i="4"/>
  <c r="AB5" i="4" s="1"/>
  <c r="R9" i="4"/>
  <c r="AB9" i="4" s="1"/>
  <c r="V9" i="4"/>
  <c r="AF9" i="4" s="1"/>
  <c r="AI9" i="4" s="1"/>
  <c r="Q10" i="4"/>
  <c r="AA10" i="4" s="1"/>
  <c r="R10" i="4"/>
  <c r="AB10" i="4" s="1"/>
  <c r="Y4" i="4" l="1"/>
  <c r="Y10" i="4"/>
  <c r="Y7" i="4"/>
  <c r="V61" i="4"/>
  <c r="V65" i="4" s="1"/>
  <c r="Y6" i="4"/>
  <c r="Y5" i="4"/>
  <c r="Y9" i="4"/>
  <c r="Y8" i="4"/>
  <c r="V62" i="4"/>
  <c r="V60" i="4"/>
  <c r="V66" i="4" s="1"/>
  <c r="V63" i="4"/>
  <c r="V64" i="4"/>
  <c r="F4" i="1" l="1"/>
  <c r="P4" i="1" s="1"/>
  <c r="Y4" i="1" s="1"/>
  <c r="J4" i="1"/>
  <c r="Q4" i="1" s="1"/>
  <c r="AB4" i="1" s="1"/>
  <c r="M4" i="1"/>
  <c r="O4" i="1"/>
  <c r="R4" i="1"/>
  <c r="AA4" i="1" s="1"/>
  <c r="S4" i="1"/>
  <c r="Z4" i="1" s="1"/>
  <c r="X4" i="1"/>
  <c r="N4" i="1" l="1"/>
  <c r="W4" i="1" s="1"/>
  <c r="T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Callaghan</author>
  </authors>
  <commentList>
    <comment ref="L2" authorId="0" shapeId="0" xr:uid="{78E1EFF1-6A15-47F5-B0A8-AC18A8AB7A72}">
      <text>
        <r>
          <rPr>
            <b/>
            <sz val="9"/>
            <color indexed="81"/>
            <rFont val="Tahoma"/>
            <family val="2"/>
          </rPr>
          <t>Michael Callaghan:</t>
        </r>
        <r>
          <rPr>
            <sz val="9"/>
            <color indexed="81"/>
            <rFont val="Tahoma"/>
            <family val="2"/>
          </rPr>
          <t xml:space="preserve">
Used Goal seek or Solver to iterate this value to produce a charge balance difference of zero.</t>
        </r>
      </text>
    </comment>
    <comment ref="T2" authorId="0" shapeId="0" xr:uid="{C4BB3C10-4E6E-43DC-B640-700792699FAC}">
      <text>
        <r>
          <rPr>
            <b/>
            <sz val="9"/>
            <color indexed="81"/>
            <rFont val="Tahoma"/>
            <family val="2"/>
          </rPr>
          <t>Michael Callaghan:</t>
        </r>
        <r>
          <rPr>
            <sz val="9"/>
            <color indexed="81"/>
            <rFont val="Tahoma"/>
            <family val="2"/>
          </rPr>
          <t xml:space="preserve">
Iterate until this value is zero.
</t>
        </r>
      </text>
    </comment>
    <comment ref="B3" authorId="0" shapeId="0" xr:uid="{DFF8F45B-6C1E-4472-8718-55B2BC72814B}">
      <text>
        <r>
          <rPr>
            <b/>
            <sz val="9"/>
            <color indexed="81"/>
            <rFont val="Tahoma"/>
            <family val="2"/>
          </rPr>
          <t>Michael Callaghan:</t>
        </r>
        <r>
          <rPr>
            <sz val="9"/>
            <color indexed="81"/>
            <rFont val="Tahoma"/>
            <family val="2"/>
          </rPr>
          <t xml:space="preserve">
Yellow highlighted values are input. All other cells contain formulas.</t>
        </r>
      </text>
    </comment>
  </commentList>
</comments>
</file>

<file path=xl/sharedStrings.xml><?xml version="1.0" encoding="utf-8"?>
<sst xmlns="http://schemas.openxmlformats.org/spreadsheetml/2006/main" count="268" uniqueCount="61">
  <si>
    <t>meq/L</t>
  </si>
  <si>
    <t>Anion Sum</t>
  </si>
  <si>
    <t>HCO3 (meq/L)</t>
  </si>
  <si>
    <t>SO4(meq/L)</t>
  </si>
  <si>
    <t>Cl(meq/L)</t>
  </si>
  <si>
    <t>Cation Sum</t>
  </si>
  <si>
    <t>K (meq/L)</t>
  </si>
  <si>
    <t>Mg (meq/L)</t>
  </si>
  <si>
    <t>Ca (meq/L)</t>
  </si>
  <si>
    <t>Na (meq/L)</t>
  </si>
  <si>
    <t>Sample</t>
  </si>
  <si>
    <t>Cl</t>
  </si>
  <si>
    <t>SO4</t>
  </si>
  <si>
    <t>HCO3</t>
  </si>
  <si>
    <t>K</t>
  </si>
  <si>
    <t>Mg</t>
  </si>
  <si>
    <t>Ca</t>
  </si>
  <si>
    <t>Na</t>
  </si>
  <si>
    <t>Bal. Check</t>
  </si>
  <si>
    <t>AK3</t>
  </si>
  <si>
    <t>AK2</t>
  </si>
  <si>
    <t>AK1</t>
  </si>
  <si>
    <t>CK4</t>
  </si>
  <si>
    <t>CK3</t>
  </si>
  <si>
    <t>CK2</t>
  </si>
  <si>
    <t>CK1</t>
  </si>
  <si>
    <t>Balanced Values</t>
  </si>
  <si>
    <t>Lab Values</t>
  </si>
  <si>
    <t>Balancing Coefficients</t>
  </si>
  <si>
    <t>Depth</t>
  </si>
  <si>
    <t>Date</t>
  </si>
  <si>
    <t>Location</t>
  </si>
  <si>
    <t>Field</t>
  </si>
  <si>
    <t>DL1</t>
  </si>
  <si>
    <t>DL2</t>
  </si>
  <si>
    <t>DL3</t>
  </si>
  <si>
    <t>DL0</t>
  </si>
  <si>
    <t>HIGH1</t>
  </si>
  <si>
    <t>HIGH2</t>
  </si>
  <si>
    <t>LOW1</t>
  </si>
  <si>
    <t>LOW2</t>
  </si>
  <si>
    <t>X-HI</t>
  </si>
  <si>
    <t>DL0 Mid</t>
  </si>
  <si>
    <t>DL2 Mid</t>
  </si>
  <si>
    <t>XHI</t>
  </si>
  <si>
    <t>mean</t>
  </si>
  <si>
    <t>std</t>
  </si>
  <si>
    <t>min</t>
  </si>
  <si>
    <t>max</t>
  </si>
  <si>
    <t>confint</t>
  </si>
  <si>
    <t>confint T</t>
  </si>
  <si>
    <t>No. affected by gyp</t>
  </si>
  <si>
    <t>SO4diff</t>
  </si>
  <si>
    <t>meq/Ldiff</t>
  </si>
  <si>
    <t>https://www.aqion.de/site/137</t>
  </si>
  <si>
    <t>&lt;--</t>
  </si>
  <si>
    <t>NO3 (meq/L)</t>
  </si>
  <si>
    <t>AK4</t>
  </si>
  <si>
    <t>NO3</t>
  </si>
  <si>
    <t>Charge Err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</si>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</sst>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/>
    <xf numFmtId="0" fontId="8" fillId="0" borderId="0" applyNumberFormat="0" applyFill="0" applyBorder="0" applyAlignment="0" applyProtection="0"/>
  </cellStyleXfs>
  <cellXfs count="34">
    <xf numFmtId="0" fontId="0" fillId="0" borderId="0" xfId="0"/>
    <xf numFmtId="2" fontId="0" fillId="0" borderId="0" xfId="0" applyNumberFormat="1"/>
    <xf numFmtId="2" fontId="0" fillId="0" borderId="0" xfId="0" applyNumberFormat="1" applyFill="1"/>
    <xf numFmtId="2" fontId="1" fillId="2" borderId="0" xfId="1" applyNumberFormat="1" applyFill="1" applyBorder="1"/>
    <xf numFmtId="2" fontId="1" fillId="2" borderId="0" xfId="2" applyNumberFormat="1" applyFont="1" applyFill="1"/>
    <xf numFmtId="164" fontId="0" fillId="0" borderId="0" xfId="0" applyNumberFormat="1" applyFill="1"/>
    <xf numFmtId="2" fontId="1" fillId="2" borderId="0" xfId="1" applyNumberFormat="1" applyFill="1" applyAlignment="1">
      <alignment horizontal="center"/>
    </xf>
    <xf numFmtId="2" fontId="1" fillId="2" borderId="0" xfId="2" applyNumberFormat="1" applyFill="1" applyAlignment="1">
      <alignment horizontal="center"/>
    </xf>
    <xf numFmtId="2" fontId="3" fillId="2" borderId="0" xfId="3" applyNumberFormat="1" applyFont="1" applyFill="1"/>
    <xf numFmtId="2" fontId="1" fillId="2" borderId="0" xfId="1" applyNumberFormat="1" applyFill="1"/>
    <xf numFmtId="0" fontId="1" fillId="0" borderId="0" xfId="1" applyFont="1" applyFill="1"/>
    <xf numFmtId="0" fontId="4" fillId="0" borderId="0" xfId="0" applyFont="1" applyFill="1" applyBorder="1"/>
    <xf numFmtId="0" fontId="4" fillId="0" borderId="0" xfId="0" applyFont="1" applyBorder="1"/>
    <xf numFmtId="0" fontId="4" fillId="0" borderId="0" xfId="0" applyFont="1"/>
    <xf numFmtId="0" fontId="0" fillId="3" borderId="0" xfId="0" applyFill="1"/>
    <xf numFmtId="14" fontId="0" fillId="0" borderId="0" xfId="0" applyNumberFormat="1"/>
    <xf numFmtId="0" fontId="4" fillId="4" borderId="0" xfId="0" applyFont="1" applyFill="1"/>
    <xf numFmtId="0" fontId="0" fillId="4" borderId="0" xfId="0" applyFill="1"/>
    <xf numFmtId="0" fontId="4" fillId="4" borderId="0" xfId="0" applyFont="1" applyFill="1" applyBorder="1"/>
    <xf numFmtId="2" fontId="0" fillId="4" borderId="0" xfId="0" applyNumberFormat="1" applyFill="1"/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horizontal="right"/>
    </xf>
    <xf numFmtId="2" fontId="4" fillId="0" borderId="0" xfId="0" applyNumberFormat="1" applyFont="1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8" fillId="0" borderId="0" xfId="4"/>
    <xf numFmtId="0" fontId="0" fillId="0" borderId="0" xfId="0" applyAlignment="1">
      <alignment horizontal="center"/>
    </xf>
    <xf numFmtId="2" fontId="0" fillId="0" borderId="0" xfId="0" applyNumberFormat="1" applyFont="1" applyFill="1"/>
    <xf numFmtId="2" fontId="0" fillId="0" borderId="0" xfId="0" applyNumberFormat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</cellXfs>
  <cellStyles count="5">
    <cellStyle name="Hyperlink" xfId="4" builtinId="8"/>
    <cellStyle name="Normal" xfId="0" builtinId="0"/>
    <cellStyle name="Normal 2" xfId="1" xr:uid="{8CEEBF41-7F93-47F3-80A4-BC11534D7E87}"/>
    <cellStyle name="Normal 3" xfId="2" xr:uid="{27CC4F0F-CF76-4660-ABD2-7B17C475CC3D}"/>
    <cellStyle name="Normal_SoilSamplers-10" xfId="3" xr:uid="{3DFC0D3D-C3AC-4E2D-8054-5B7B61D5607B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157163</xdr:colOff>
      <xdr:row>5</xdr:row>
      <xdr:rowOff>14288</xdr:rowOff>
    </xdr:from>
    <xdr:to>
      <xdr:col>4</xdr:col>
      <xdr:colOff>214313</xdr:colOff>
      <xdr:row>24</xdr:row>
      <xdr:rowOff>138113</xdr:rowOff>
    </xdr:to>
    <xdr:pic>
      <xdr:nvPicPr>
        <xdr:cNvPr id="2" name="Picture 1" descr="aqion_guidance_for_charge_balance_adjust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3" y="833438"/>
          <a:ext cx="4010025" cy="3200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</xdr:row>
          <xdr:rowOff>123825</xdr:rowOff>
        </xdr:from>
        <xdr:to>
          <xdr:col>19</xdr:col>
          <xdr:colOff>614363</xdr:colOff>
          <xdr:row>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 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</xdr:row>
          <xdr:rowOff>123825</xdr:rowOff>
        </xdr:from>
        <xdr:to>
          <xdr:col>20</xdr:col>
          <xdr:colOff>614363</xdr:colOff>
          <xdr:row>6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qion.de/site/137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CCDF-980B-429D-ADC2-61D291916EC2}">
  <sheetPr codeName="Sheet1"/>
  <dimension ref="A1:AC61"/>
  <sheetViews>
    <sheetView zoomScaleNormal="100" workbookViewId="0">
      <selection activeCell="G17" sqref="G17"/>
    </sheetView>
  </sheetViews>
  <sheetFormatPr defaultRowHeight="12.75" x14ac:dyDescent="0.35"/>
  <cols>
    <col min="1" max="1" width="28.1328125" bestFit="1" customWidth="1"/>
    <col min="12" max="29" width="9.265625" customWidth="1"/>
  </cols>
  <sheetData>
    <row r="1" spans="1:29" x14ac:dyDescent="0.35">
      <c r="B1" s="31" t="s">
        <v>27</v>
      </c>
      <c r="C1" s="32"/>
      <c r="D1" s="32"/>
      <c r="E1" s="32"/>
      <c r="F1" s="32"/>
      <c r="G1" s="32"/>
      <c r="H1" s="32"/>
      <c r="I1" s="32"/>
      <c r="J1" s="32"/>
      <c r="L1" s="32" t="s">
        <v>28</v>
      </c>
      <c r="M1" s="32"/>
      <c r="N1" s="32"/>
      <c r="O1" s="32"/>
      <c r="P1" s="32"/>
      <c r="Q1" s="32"/>
      <c r="R1" s="32"/>
      <c r="S1" s="32"/>
      <c r="V1" s="31" t="s">
        <v>26</v>
      </c>
      <c r="W1" s="32"/>
      <c r="X1" s="32"/>
      <c r="Y1" s="32"/>
      <c r="Z1" s="32"/>
      <c r="AA1" s="32"/>
      <c r="AB1" s="32"/>
      <c r="AC1" s="32"/>
    </row>
    <row r="2" spans="1:29" ht="13.15" x14ac:dyDescent="0.4">
      <c r="L2" s="13" t="s">
        <v>14</v>
      </c>
      <c r="M2" s="13" t="s">
        <v>25</v>
      </c>
      <c r="N2" s="13" t="s">
        <v>24</v>
      </c>
      <c r="O2" s="13" t="s">
        <v>23</v>
      </c>
      <c r="P2" s="13" t="s">
        <v>22</v>
      </c>
      <c r="Q2" s="13" t="s">
        <v>21</v>
      </c>
      <c r="R2" s="13" t="s">
        <v>20</v>
      </c>
      <c r="S2" s="13" t="s">
        <v>19</v>
      </c>
      <c r="T2" s="13" t="s">
        <v>18</v>
      </c>
      <c r="U2" s="13"/>
      <c r="V2" s="13" t="s">
        <v>17</v>
      </c>
      <c r="W2" s="13" t="s">
        <v>16</v>
      </c>
      <c r="X2" s="13" t="s">
        <v>15</v>
      </c>
      <c r="Y2" s="13" t="s">
        <v>14</v>
      </c>
      <c r="Z2" s="13" t="s">
        <v>13</v>
      </c>
      <c r="AA2" s="13" t="s">
        <v>12</v>
      </c>
      <c r="AB2" s="13" t="s">
        <v>11</v>
      </c>
    </row>
    <row r="3" spans="1:29" ht="13.15" x14ac:dyDescent="0.4">
      <c r="A3" s="13" t="s">
        <v>10</v>
      </c>
      <c r="B3" s="12" t="s">
        <v>9</v>
      </c>
      <c r="C3" s="12" t="s">
        <v>8</v>
      </c>
      <c r="D3" s="12" t="s">
        <v>7</v>
      </c>
      <c r="E3" s="12" t="s">
        <v>6</v>
      </c>
      <c r="F3" s="11" t="s">
        <v>5</v>
      </c>
      <c r="G3" s="12" t="s">
        <v>4</v>
      </c>
      <c r="H3" s="12" t="s">
        <v>3</v>
      </c>
      <c r="I3" s="11" t="s">
        <v>2</v>
      </c>
      <c r="J3" s="11" t="s">
        <v>1</v>
      </c>
      <c r="K3" s="11"/>
      <c r="V3" s="11" t="s">
        <v>0</v>
      </c>
      <c r="W3" s="11" t="s">
        <v>0</v>
      </c>
      <c r="X3" s="11" t="s">
        <v>0</v>
      </c>
      <c r="Y3" s="11" t="s">
        <v>0</v>
      </c>
      <c r="Z3" s="11" t="s">
        <v>0</v>
      </c>
      <c r="AA3" s="11" t="s">
        <v>0</v>
      </c>
      <c r="AB3" s="11" t="s">
        <v>0</v>
      </c>
    </row>
    <row r="4" spans="1:29" x14ac:dyDescent="0.35">
      <c r="A4" s="10">
        <v>1</v>
      </c>
      <c r="B4" s="9">
        <v>8.4143478260869564</v>
      </c>
      <c r="C4" s="8">
        <v>16.179949099256451</v>
      </c>
      <c r="D4" s="7">
        <v>4.083127572016461</v>
      </c>
      <c r="E4" s="6">
        <v>6.7067369174893851E-2</v>
      </c>
      <c r="F4" s="5">
        <f>B4+C4+D4+E4</f>
        <v>28.744491866534762</v>
      </c>
      <c r="G4" s="4">
        <v>0.9366967559943582</v>
      </c>
      <c r="H4" s="4">
        <v>21.977499999999999</v>
      </c>
      <c r="I4" s="3">
        <v>9.857377049180327</v>
      </c>
      <c r="J4" s="2">
        <f>G4+H4+I4</f>
        <v>32.771573805174683</v>
      </c>
      <c r="K4" s="2"/>
      <c r="L4" s="14">
        <v>1.1347694064887879</v>
      </c>
      <c r="M4">
        <f>B4/F4</f>
        <v>0.29272905101805624</v>
      </c>
      <c r="N4">
        <f>C4/F4</f>
        <v>0.56288868052990892</v>
      </c>
      <c r="O4">
        <f>D4/F4</f>
        <v>0.1420490433775998</v>
      </c>
      <c r="P4">
        <f>E4/F4</f>
        <v>2.3332250744350705E-3</v>
      </c>
      <c r="Q4">
        <f>G4/J4</f>
        <v>2.8582599101372799E-2</v>
      </c>
      <c r="R4">
        <f>H4/J4</f>
        <v>0.67062693206786783</v>
      </c>
      <c r="S4">
        <f>I4/J4</f>
        <v>0.30079046883075944</v>
      </c>
      <c r="T4" s="1">
        <f>V4+W4+X4+Y4-Z4-AA4-AB4</f>
        <v>-2.2870594307278225E-14</v>
      </c>
      <c r="U4" s="1"/>
      <c r="V4">
        <f>B4*(1-(1-L4)*M4)</f>
        <v>8.7463015929617267</v>
      </c>
      <c r="W4" s="1">
        <f>C4*(1-(1-L4)*N4)</f>
        <v>17.407362843436552</v>
      </c>
      <c r="X4">
        <f>D4*(1-(1-L4)*O4)</f>
        <v>4.1612944161284213</v>
      </c>
      <c r="Y4">
        <f>E4*(1-(1-L4)*P4)</f>
        <v>6.7088458331971523E-2</v>
      </c>
      <c r="Z4">
        <f>I4*(1+(1-L4)*S4)</f>
        <v>9.4577850764601017</v>
      </c>
      <c r="AA4" s="1">
        <f>H4*(1+(1-L4)*R4)</f>
        <v>19.991173690432198</v>
      </c>
      <c r="AB4" s="1">
        <f>G4*(1+(1-L4)*Q4)</f>
        <v>0.93308854396639673</v>
      </c>
    </row>
    <row r="5" spans="1:29" x14ac:dyDescent="0.35"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35"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35"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35"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35"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35"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35"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5"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35"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35"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35"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35"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5:29" x14ac:dyDescent="0.35"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5:29" x14ac:dyDescent="0.35"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5:29" x14ac:dyDescent="0.35"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5:29" x14ac:dyDescent="0.35"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5:29" x14ac:dyDescent="0.35">
      <c r="E21" s="23" t="s">
        <v>55</v>
      </c>
      <c r="F21" s="27" t="s">
        <v>54</v>
      </c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5:29" x14ac:dyDescent="0.35">
      <c r="E22" s="23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5:29" x14ac:dyDescent="0.35"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5:29" x14ac:dyDescent="0.35"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5:29" x14ac:dyDescent="0.35"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5:29" x14ac:dyDescent="0.35"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5:29" x14ac:dyDescent="0.35"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5:29" x14ac:dyDescent="0.35"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5:29" x14ac:dyDescent="0.35"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5:29" x14ac:dyDescent="0.35"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5:29" x14ac:dyDescent="0.35"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5:29" x14ac:dyDescent="0.35"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20:29" x14ac:dyDescent="0.35"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20:29" x14ac:dyDescent="0.35"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20:29" x14ac:dyDescent="0.35"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20:29" x14ac:dyDescent="0.35"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20:29" x14ac:dyDescent="0.35"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20:29" x14ac:dyDescent="0.35"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20:29" x14ac:dyDescent="0.35"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20:29" x14ac:dyDescent="0.35"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20:29" x14ac:dyDescent="0.35"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20:29" x14ac:dyDescent="0.35"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20:29" x14ac:dyDescent="0.35"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20:29" x14ac:dyDescent="0.35"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20:29" x14ac:dyDescent="0.35"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20:29" x14ac:dyDescent="0.35"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20:29" x14ac:dyDescent="0.35"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20:29" x14ac:dyDescent="0.35"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20:29" x14ac:dyDescent="0.35"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20:29" x14ac:dyDescent="0.35"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20:29" x14ac:dyDescent="0.35"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20:29" x14ac:dyDescent="0.35"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20:29" x14ac:dyDescent="0.35"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20:29" x14ac:dyDescent="0.35"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20:29" x14ac:dyDescent="0.35"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20:29" x14ac:dyDescent="0.35"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20:29" x14ac:dyDescent="0.35"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20:29" x14ac:dyDescent="0.35"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20:29" x14ac:dyDescent="0.35"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20:29" x14ac:dyDescent="0.35"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20:29" x14ac:dyDescent="0.35">
      <c r="T61" s="1"/>
      <c r="U61" s="1"/>
      <c r="V61" s="1"/>
      <c r="W61" s="1"/>
      <c r="X61" s="1"/>
      <c r="Y61" s="1"/>
      <c r="Z61" s="1"/>
      <c r="AA61" s="1"/>
      <c r="AB61" s="1"/>
      <c r="AC61" s="1"/>
    </row>
  </sheetData>
  <mergeCells count="3">
    <mergeCell ref="B1:J1"/>
    <mergeCell ref="V1:AC1"/>
    <mergeCell ref="L1:S1"/>
  </mergeCells>
  <hyperlinks>
    <hyperlink ref="F21" r:id="rId1" xr:uid="{36255C76-3E3D-4F84-8BFA-38463C92E369}"/>
  </hyperlinks>
  <pageMargins left="0.75" right="0.75" top="1" bottom="1" header="0.5" footer="0.5"/>
  <pageSetup orientation="portrait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3421F-1A88-4F10-A037-79022E940A69}">
  <sheetPr codeName="Sheet4"/>
  <dimension ref="A1:AI6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14" sqref="AH14"/>
    </sheetView>
  </sheetViews>
  <sheetFormatPr defaultRowHeight="12.75" x14ac:dyDescent="0.35"/>
  <cols>
    <col min="1" max="1" width="5.53125" bestFit="1" customWidth="1"/>
    <col min="2" max="2" width="8.796875" bestFit="1" customWidth="1"/>
    <col min="3" max="3" width="6.265625" bestFit="1" customWidth="1"/>
    <col min="4" max="4" width="9.1328125" bestFit="1" customWidth="1"/>
    <col min="16" max="24" width="9.265625" customWidth="1"/>
    <col min="25" max="25" width="10.73046875" bestFit="1" customWidth="1"/>
    <col min="26" max="34" width="9.265625" customWidth="1"/>
    <col min="35" max="35" width="9.265625" style="20" customWidth="1"/>
  </cols>
  <sheetData>
    <row r="1" spans="1:35" x14ac:dyDescent="0.35">
      <c r="E1" s="31" t="s">
        <v>27</v>
      </c>
      <c r="F1" s="32"/>
      <c r="G1" s="32"/>
      <c r="H1" s="32"/>
      <c r="I1" s="32"/>
      <c r="J1" s="32"/>
      <c r="K1" s="32"/>
      <c r="L1" s="32"/>
      <c r="M1" s="32"/>
      <c r="N1" s="32"/>
      <c r="O1" s="25"/>
      <c r="P1" s="22" t="s">
        <v>28</v>
      </c>
      <c r="Q1" s="22"/>
      <c r="R1" s="22"/>
      <c r="S1" s="22"/>
      <c r="T1" s="22"/>
      <c r="U1" s="22"/>
      <c r="V1" s="22"/>
      <c r="W1" s="22"/>
      <c r="X1" s="22"/>
      <c r="AA1" s="33" t="s">
        <v>26</v>
      </c>
      <c r="AB1" s="33"/>
      <c r="AC1" s="33"/>
      <c r="AD1" s="33"/>
      <c r="AE1" s="33"/>
      <c r="AF1" s="33"/>
      <c r="AG1" s="33"/>
      <c r="AH1" s="26"/>
      <c r="AI1" s="21"/>
    </row>
    <row r="2" spans="1:35" ht="13.15" x14ac:dyDescent="0.4">
      <c r="P2" s="13" t="s">
        <v>14</v>
      </c>
      <c r="Q2" s="13" t="s">
        <v>25</v>
      </c>
      <c r="R2" s="13" t="s">
        <v>24</v>
      </c>
      <c r="S2" s="13" t="s">
        <v>23</v>
      </c>
      <c r="T2" s="13" t="s">
        <v>22</v>
      </c>
      <c r="U2" s="13" t="s">
        <v>21</v>
      </c>
      <c r="V2" s="13" t="s">
        <v>20</v>
      </c>
      <c r="W2" s="13" t="s">
        <v>19</v>
      </c>
      <c r="X2" s="13" t="s">
        <v>57</v>
      </c>
      <c r="Y2" s="13" t="s">
        <v>18</v>
      </c>
      <c r="Z2" s="13"/>
      <c r="AA2" s="16" t="s">
        <v>17</v>
      </c>
      <c r="AB2" s="16" t="s">
        <v>16</v>
      </c>
      <c r="AC2" s="16" t="s">
        <v>15</v>
      </c>
      <c r="AD2" s="16" t="s">
        <v>14</v>
      </c>
      <c r="AE2" s="16" t="s">
        <v>13</v>
      </c>
      <c r="AF2" s="16" t="s">
        <v>12</v>
      </c>
      <c r="AG2" s="16" t="s">
        <v>11</v>
      </c>
      <c r="AH2" s="16" t="s">
        <v>58</v>
      </c>
      <c r="AI2" s="16" t="s">
        <v>52</v>
      </c>
    </row>
    <row r="3" spans="1:35" ht="13.15" x14ac:dyDescent="0.4">
      <c r="A3" s="13" t="s">
        <v>32</v>
      </c>
      <c r="B3" s="13" t="s">
        <v>31</v>
      </c>
      <c r="C3" s="13" t="s">
        <v>29</v>
      </c>
      <c r="D3" s="13" t="s">
        <v>30</v>
      </c>
      <c r="E3" s="12" t="s">
        <v>9</v>
      </c>
      <c r="F3" s="12" t="s">
        <v>8</v>
      </c>
      <c r="G3" s="12" t="s">
        <v>7</v>
      </c>
      <c r="H3" s="12" t="s">
        <v>6</v>
      </c>
      <c r="I3" s="11" t="s">
        <v>5</v>
      </c>
      <c r="J3" s="12" t="s">
        <v>4</v>
      </c>
      <c r="K3" s="12" t="s">
        <v>3</v>
      </c>
      <c r="L3" s="11" t="s">
        <v>2</v>
      </c>
      <c r="M3" s="11" t="s">
        <v>56</v>
      </c>
      <c r="N3" s="11" t="s">
        <v>1</v>
      </c>
      <c r="O3" s="11"/>
      <c r="AA3" s="18" t="s">
        <v>0</v>
      </c>
      <c r="AB3" s="18" t="s">
        <v>0</v>
      </c>
      <c r="AC3" s="18" t="s">
        <v>0</v>
      </c>
      <c r="AD3" s="18" t="s">
        <v>0</v>
      </c>
      <c r="AE3" s="18" t="s">
        <v>0</v>
      </c>
      <c r="AF3" s="18" t="s">
        <v>0</v>
      </c>
      <c r="AG3" s="18" t="s">
        <v>0</v>
      </c>
      <c r="AH3" s="18" t="s">
        <v>0</v>
      </c>
      <c r="AI3" s="16" t="s">
        <v>53</v>
      </c>
    </row>
    <row r="4" spans="1:35" ht="13.15" x14ac:dyDescent="0.4">
      <c r="A4">
        <v>1</v>
      </c>
      <c r="B4" t="s">
        <v>36</v>
      </c>
      <c r="C4">
        <v>15</v>
      </c>
      <c r="D4" s="15">
        <v>43336</v>
      </c>
      <c r="E4">
        <v>90.134039999999999</v>
      </c>
      <c r="F4">
        <v>28.792300000000001</v>
      </c>
      <c r="G4">
        <v>65.593100000000007</v>
      </c>
      <c r="H4">
        <v>1.5871999999999999</v>
      </c>
      <c r="I4" s="5">
        <f>SUM(E4:H4)</f>
        <v>186.10664</v>
      </c>
      <c r="J4">
        <v>16.423110000000001</v>
      </c>
      <c r="K4">
        <v>143.10210000000001</v>
      </c>
      <c r="L4">
        <v>9.2603500000000007</v>
      </c>
      <c r="M4">
        <v>1.832409988178</v>
      </c>
      <c r="N4" s="2">
        <f>J4+K4+L4+M4</f>
        <v>170.617969988178</v>
      </c>
      <c r="O4" s="2"/>
      <c r="P4" s="14">
        <v>0.9198998206899115</v>
      </c>
      <c r="Q4">
        <f t="shared" ref="Q4:Q35" si="0">E4/I4</f>
        <v>0.48431393957786784</v>
      </c>
      <c r="R4">
        <f t="shared" ref="R4:R35" si="1">F4/I4</f>
        <v>0.15470861222361545</v>
      </c>
      <c r="S4">
        <f t="shared" ref="S4:S35" si="2">G4/I4</f>
        <v>0.35244900450623368</v>
      </c>
      <c r="T4">
        <f t="shared" ref="T4:T35" si="3">H4/I4</f>
        <v>8.5284436922830904E-3</v>
      </c>
      <c r="U4">
        <f t="shared" ref="U4:U35" si="4">J4/N4</f>
        <v>9.6256625261324738E-2</v>
      </c>
      <c r="V4">
        <f t="shared" ref="V4:V35" si="5">K4/N4</f>
        <v>0.83872818326179499</v>
      </c>
      <c r="W4">
        <f t="shared" ref="W4:W35" si="6">L4/N4</f>
        <v>5.4275349780809397E-2</v>
      </c>
      <c r="X4">
        <f>M4/N4</f>
        <v>1.0739841696070855E-2</v>
      </c>
      <c r="Y4" s="1">
        <f>AA4+AB4+AC4+AD4-AE4-AF4-AG4-AH4</f>
        <v>-3.907985046680551E-14</v>
      </c>
      <c r="Z4" s="1"/>
      <c r="AA4" s="17">
        <f t="shared" ref="AA4:AA35" si="7">E4*(1-(1-P4)*Q4)</f>
        <v>86.637413095148091</v>
      </c>
      <c r="AB4" s="19">
        <f t="shared" ref="AB4:AB35" si="8">F4*(1-(1-P4)*R4)</f>
        <v>28.435500417542482</v>
      </c>
      <c r="AC4" s="17">
        <f t="shared" ref="AC4:AC35" si="9">G4*(1-(1-P4)*S4)</f>
        <v>63.74132620859146</v>
      </c>
      <c r="AD4" s="17">
        <f t="shared" ref="AD4:AD35" si="10">H4*(1-(1-P4)*T4)</f>
        <v>1.5861157362719425</v>
      </c>
      <c r="AE4" s="17">
        <f t="shared" ref="AE4:AE35" si="11">L4*(1+(1-P4)*W4)</f>
        <v>9.3006090498237679</v>
      </c>
      <c r="AF4" s="19">
        <f t="shared" ref="AF4:AF35" si="12">K4*(1+(1-P4)*V4)</f>
        <v>152.71602504622305</v>
      </c>
      <c r="AG4" s="19">
        <f t="shared" ref="AG4:AG35" si="13">J4*(1+(1-P4)*U4)</f>
        <v>16.549735018365464</v>
      </c>
      <c r="AH4" s="19">
        <f t="shared" ref="AH4:AH35" si="14">M4*(1+(1-P4)*X4)</f>
        <v>1.8339863431417314</v>
      </c>
      <c r="AI4" s="24">
        <f t="shared" ref="AI4:AI35" si="15">K4-AF4</f>
        <v>-9.613925046223045</v>
      </c>
    </row>
    <row r="5" spans="1:35" ht="13.15" x14ac:dyDescent="0.4">
      <c r="A5">
        <v>2</v>
      </c>
      <c r="B5" t="s">
        <v>36</v>
      </c>
      <c r="C5">
        <v>50</v>
      </c>
      <c r="D5" s="15">
        <v>43336</v>
      </c>
      <c r="E5">
        <v>220.26967999999999</v>
      </c>
      <c r="F5">
        <v>23.6526</v>
      </c>
      <c r="G5">
        <v>111.18729999999999</v>
      </c>
      <c r="H5">
        <v>1.92</v>
      </c>
      <c r="I5" s="5">
        <f>SUM(E5:H5)</f>
        <v>357.02958000000001</v>
      </c>
      <c r="J5">
        <v>29.578499999999998</v>
      </c>
      <c r="K5">
        <v>317.07425999999998</v>
      </c>
      <c r="L5">
        <v>23.519649999999999</v>
      </c>
      <c r="M5">
        <v>1.582859989788</v>
      </c>
      <c r="N5" s="2">
        <f t="shared" ref="N5:N58" si="16">J5+K5+L5</f>
        <v>370.17241000000001</v>
      </c>
      <c r="O5" s="2"/>
      <c r="P5" s="14">
        <v>1.0329024287048645</v>
      </c>
      <c r="Q5">
        <f t="shared" si="0"/>
        <v>0.61695078598249475</v>
      </c>
      <c r="R5">
        <f t="shared" si="1"/>
        <v>6.6248292368380229E-2</v>
      </c>
      <c r="S5">
        <f t="shared" si="2"/>
        <v>0.31142321596994843</v>
      </c>
      <c r="T5">
        <f t="shared" si="3"/>
        <v>5.377705679176498E-3</v>
      </c>
      <c r="U5">
        <f t="shared" si="4"/>
        <v>7.9904658480625279E-2</v>
      </c>
      <c r="V5">
        <f t="shared" si="5"/>
        <v>0.8565583264295682</v>
      </c>
      <c r="W5">
        <f t="shared" si="6"/>
        <v>6.3537015089806387E-2</v>
      </c>
      <c r="X5">
        <f t="shared" ref="X5:X58" si="17">M5/N5</f>
        <v>4.2760074684874538E-3</v>
      </c>
      <c r="Y5" s="1">
        <f t="shared" ref="Y5:Y58" si="18">AA5+AB5+AC5+AD5-AE5-AF5-AG5-AH5</f>
        <v>9.2814644858663087E-14</v>
      </c>
      <c r="Z5" s="1"/>
      <c r="AA5" s="17">
        <f t="shared" si="7"/>
        <v>224.74097371770401</v>
      </c>
      <c r="AB5" s="19">
        <f t="shared" si="8"/>
        <v>23.704156275091769</v>
      </c>
      <c r="AC5" s="17">
        <f t="shared" si="9"/>
        <v>112.32658958227853</v>
      </c>
      <c r="AD5" s="17">
        <f t="shared" si="10"/>
        <v>1.9203397239891933</v>
      </c>
      <c r="AE5" s="17">
        <f t="shared" si="11"/>
        <v>23.470481651676419</v>
      </c>
      <c r="AF5" s="19">
        <f t="shared" si="12"/>
        <v>308.1382039240039</v>
      </c>
      <c r="AG5" s="19">
        <f t="shared" si="13"/>
        <v>29.500736427798746</v>
      </c>
      <c r="AH5" s="19">
        <f t="shared" si="14"/>
        <v>1.5826372955843087</v>
      </c>
      <c r="AI5" s="24">
        <f t="shared" si="15"/>
        <v>8.9360560759960777</v>
      </c>
    </row>
    <row r="6" spans="1:35" ht="13.15" x14ac:dyDescent="0.4">
      <c r="A6">
        <v>3</v>
      </c>
      <c r="B6" t="s">
        <v>36</v>
      </c>
      <c r="C6">
        <v>100</v>
      </c>
      <c r="D6" s="15">
        <v>43336</v>
      </c>
      <c r="E6">
        <v>92.351519999999994</v>
      </c>
      <c r="F6">
        <v>24.201499999999999</v>
      </c>
      <c r="G6">
        <v>46.334899999999998</v>
      </c>
      <c r="H6">
        <v>0.69120000000000004</v>
      </c>
      <c r="I6" s="5">
        <f t="shared" ref="I6:I58" si="19">SUM(E6:H6)</f>
        <v>163.57911999999999</v>
      </c>
      <c r="J6">
        <v>17.972460000000002</v>
      </c>
      <c r="K6">
        <v>125.35494</v>
      </c>
      <c r="L6">
        <v>15.078799999999999</v>
      </c>
      <c r="M6">
        <v>5.7039999632000002E-2</v>
      </c>
      <c r="N6" s="2">
        <f t="shared" si="16"/>
        <v>158.40620000000001</v>
      </c>
      <c r="O6" s="2"/>
      <c r="P6" s="14">
        <v>0.97017349182740997</v>
      </c>
      <c r="Q6">
        <f t="shared" si="0"/>
        <v>0.56456789839681254</v>
      </c>
      <c r="R6">
        <f t="shared" si="1"/>
        <v>0.14794981168745744</v>
      </c>
      <c r="S6">
        <f t="shared" si="2"/>
        <v>0.28325681174956802</v>
      </c>
      <c r="T6">
        <f t="shared" si="3"/>
        <v>4.2254781661620385E-3</v>
      </c>
      <c r="U6">
        <f t="shared" si="4"/>
        <v>0.11345805909112143</v>
      </c>
      <c r="V6">
        <f t="shared" si="5"/>
        <v>0.79135122236377109</v>
      </c>
      <c r="W6">
        <f t="shared" si="6"/>
        <v>9.5190718545107439E-2</v>
      </c>
      <c r="X6">
        <f t="shared" si="17"/>
        <v>3.6008691346677083E-4</v>
      </c>
      <c r="Y6" s="1">
        <f t="shared" si="18"/>
        <v>1.664053120825626E-6</v>
      </c>
      <c r="Z6" s="1"/>
      <c r="AA6" s="17">
        <f t="shared" si="7"/>
        <v>90.796404532154895</v>
      </c>
      <c r="AB6" s="19">
        <f t="shared" si="8"/>
        <v>24.094702985088812</v>
      </c>
      <c r="AC6" s="17">
        <f t="shared" si="9"/>
        <v>45.943436742629459</v>
      </c>
      <c r="AD6" s="17">
        <f t="shared" si="10"/>
        <v>0.69111288719374042</v>
      </c>
      <c r="AE6" s="17">
        <f t="shared" si="11"/>
        <v>15.121611830661083</v>
      </c>
      <c r="AF6" s="19">
        <f t="shared" si="12"/>
        <v>128.31372319797208</v>
      </c>
      <c r="AG6" s="19">
        <f t="shared" si="13"/>
        <v>18.0332798421313</v>
      </c>
      <c r="AH6" s="19">
        <f t="shared" si="14"/>
        <v>5.7040612249311701E-2</v>
      </c>
      <c r="AI6" s="24">
        <f t="shared" si="15"/>
        <v>-2.9587831979720818</v>
      </c>
    </row>
    <row r="7" spans="1:35" ht="13.15" x14ac:dyDescent="0.4">
      <c r="A7">
        <v>4</v>
      </c>
      <c r="B7" t="s">
        <v>33</v>
      </c>
      <c r="C7">
        <v>15</v>
      </c>
      <c r="D7" s="15">
        <v>43337</v>
      </c>
      <c r="E7">
        <v>7.6959600000000004</v>
      </c>
      <c r="F7">
        <v>20.608699999999999</v>
      </c>
      <c r="G7">
        <v>10.4521</v>
      </c>
      <c r="H7">
        <v>0.20480000000000001</v>
      </c>
      <c r="I7" s="5">
        <f t="shared" si="19"/>
        <v>38.961559999999999</v>
      </c>
      <c r="J7">
        <v>1.35216</v>
      </c>
      <c r="K7">
        <v>23.371259999999999</v>
      </c>
      <c r="L7">
        <v>11.079639999999999</v>
      </c>
      <c r="M7">
        <v>6.4169999586000004E-2</v>
      </c>
      <c r="N7" s="2">
        <f t="shared" si="16"/>
        <v>35.803060000000002</v>
      </c>
      <c r="O7" s="2"/>
      <c r="P7" s="14">
        <v>0.908888913004673</v>
      </c>
      <c r="Q7">
        <f t="shared" si="0"/>
        <v>0.197526998405608</v>
      </c>
      <c r="R7">
        <f t="shared" si="1"/>
        <v>0.52894955951455747</v>
      </c>
      <c r="S7">
        <f t="shared" si="2"/>
        <v>0.26826697904293362</v>
      </c>
      <c r="T7">
        <f t="shared" si="3"/>
        <v>5.2564630369009869E-3</v>
      </c>
      <c r="U7">
        <f t="shared" si="4"/>
        <v>3.7766604307006159E-2</v>
      </c>
      <c r="V7">
        <f t="shared" si="5"/>
        <v>0.65277269596509346</v>
      </c>
      <c r="W7">
        <f t="shared" si="6"/>
        <v>0.3094606997279003</v>
      </c>
      <c r="X7">
        <f t="shared" si="17"/>
        <v>1.7923048919840929E-3</v>
      </c>
      <c r="Y7" s="1">
        <f t="shared" si="18"/>
        <v>1.4668821712859881E-14</v>
      </c>
      <c r="Z7" s="1"/>
      <c r="AA7" s="17">
        <f t="shared" si="7"/>
        <v>7.5574565810495482</v>
      </c>
      <c r="AB7" s="19">
        <f t="shared" si="8"/>
        <v>19.615501431165544</v>
      </c>
      <c r="AC7" s="17">
        <f t="shared" si="9"/>
        <v>10.19662876771322</v>
      </c>
      <c r="AD7" s="17">
        <f t="shared" si="10"/>
        <v>0.20470191676189844</v>
      </c>
      <c r="AE7" s="17">
        <f t="shared" si="11"/>
        <v>11.392033781830477</v>
      </c>
      <c r="AF7" s="19">
        <f t="shared" si="12"/>
        <v>24.761261712820797</v>
      </c>
      <c r="AG7" s="19">
        <f t="shared" si="13"/>
        <v>1.356812723565981</v>
      </c>
      <c r="AH7" s="19">
        <f t="shared" si="14"/>
        <v>6.4180478472940269E-2</v>
      </c>
      <c r="AI7" s="24">
        <f t="shared" si="15"/>
        <v>-1.3900017128207978</v>
      </c>
    </row>
    <row r="8" spans="1:35" ht="13.15" x14ac:dyDescent="0.4">
      <c r="A8">
        <v>5</v>
      </c>
      <c r="B8" t="s">
        <v>33</v>
      </c>
      <c r="C8">
        <v>50</v>
      </c>
      <c r="D8" s="15">
        <v>43336</v>
      </c>
      <c r="E8">
        <v>5.2610799999999998</v>
      </c>
      <c r="F8">
        <v>13.972</v>
      </c>
      <c r="G8">
        <v>6.9131999999999998</v>
      </c>
      <c r="H8">
        <v>0.1024</v>
      </c>
      <c r="I8" s="5">
        <f t="shared" si="19"/>
        <v>26.24868</v>
      </c>
      <c r="J8">
        <v>0.67608000000000001</v>
      </c>
      <c r="K8">
        <v>10.87326</v>
      </c>
      <c r="L8">
        <v>11.686070000000001</v>
      </c>
      <c r="M8">
        <v>4.9909999678E-2</v>
      </c>
      <c r="N8" s="2">
        <f t="shared" si="16"/>
        <v>23.235410000000002</v>
      </c>
      <c r="O8" s="2"/>
      <c r="P8" s="14">
        <v>0.86086403187916094</v>
      </c>
      <c r="Q8">
        <f t="shared" si="0"/>
        <v>0.20043217411313635</v>
      </c>
      <c r="R8">
        <f t="shared" si="1"/>
        <v>0.53229343342217583</v>
      </c>
      <c r="S8">
        <f t="shared" si="2"/>
        <v>0.26337324391169381</v>
      </c>
      <c r="T8">
        <f t="shared" si="3"/>
        <v>3.901148552993903E-3</v>
      </c>
      <c r="U8">
        <f t="shared" si="4"/>
        <v>2.9096968807522654E-2</v>
      </c>
      <c r="V8">
        <f t="shared" si="5"/>
        <v>0.46796075472737514</v>
      </c>
      <c r="W8">
        <f t="shared" si="6"/>
        <v>0.50294227646510214</v>
      </c>
      <c r="X8">
        <f t="shared" si="17"/>
        <v>2.1480145897145777E-3</v>
      </c>
      <c r="Y8" s="1">
        <f t="shared" si="18"/>
        <v>1.8334941056380449E-7</v>
      </c>
      <c r="Z8" s="1"/>
      <c r="AA8" s="17">
        <f t="shared" si="7"/>
        <v>5.1143625543576396</v>
      </c>
      <c r="AB8" s="19">
        <f t="shared" si="8"/>
        <v>12.937217441971301</v>
      </c>
      <c r="AC8" s="17">
        <f t="shared" si="9"/>
        <v>6.6598679203206741</v>
      </c>
      <c r="AD8" s="17">
        <f t="shared" si="10"/>
        <v>0.10234441829573591</v>
      </c>
      <c r="AE8" s="17">
        <f t="shared" si="11"/>
        <v>12.503830333742597</v>
      </c>
      <c r="AF8" s="19">
        <f t="shared" si="12"/>
        <v>11.581219835885214</v>
      </c>
      <c r="AG8" s="19">
        <f t="shared" si="13"/>
        <v>0.6788170658836995</v>
      </c>
      <c r="AH8" s="19">
        <f t="shared" si="14"/>
        <v>4.9924916084429595E-2</v>
      </c>
      <c r="AI8" s="24">
        <f t="shared" si="15"/>
        <v>-0.70795983588521416</v>
      </c>
    </row>
    <row r="9" spans="1:35" ht="13.15" x14ac:dyDescent="0.4">
      <c r="A9">
        <v>6</v>
      </c>
      <c r="B9" t="s">
        <v>33</v>
      </c>
      <c r="C9">
        <v>100</v>
      </c>
      <c r="D9" s="15">
        <v>43336</v>
      </c>
      <c r="E9">
        <v>9.9134399999999996</v>
      </c>
      <c r="F9">
        <v>27.694500000000001</v>
      </c>
      <c r="G9">
        <v>18.517499999999998</v>
      </c>
      <c r="H9">
        <v>7.6799999999999993E-2</v>
      </c>
      <c r="I9" s="5">
        <f t="shared" si="19"/>
        <v>56.202239999999996</v>
      </c>
      <c r="J9">
        <v>0.95777999999999996</v>
      </c>
      <c r="K9">
        <v>41.55585</v>
      </c>
      <c r="L9">
        <v>10.03068</v>
      </c>
      <c r="M9">
        <v>0.37788999756199998</v>
      </c>
      <c r="N9" s="2">
        <f t="shared" si="16"/>
        <v>52.544309999999996</v>
      </c>
      <c r="O9" s="2"/>
      <c r="P9" s="14">
        <v>0.94173702810864768</v>
      </c>
      <c r="Q9">
        <f t="shared" si="0"/>
        <v>0.17638869909811425</v>
      </c>
      <c r="R9">
        <f t="shared" si="1"/>
        <v>0.4927650570511069</v>
      </c>
      <c r="S9">
        <f t="shared" si="2"/>
        <v>0.32947975027329873</v>
      </c>
      <c r="T9">
        <f t="shared" si="3"/>
        <v>1.3664935774801857E-3</v>
      </c>
      <c r="U9">
        <f t="shared" si="4"/>
        <v>1.8228044102206312E-2</v>
      </c>
      <c r="V9">
        <f t="shared" si="5"/>
        <v>0.79087250360695582</v>
      </c>
      <c r="W9">
        <f t="shared" si="6"/>
        <v>0.19089945229083799</v>
      </c>
      <c r="X9">
        <f t="shared" si="17"/>
        <v>7.1918348068896517E-3</v>
      </c>
      <c r="Y9" s="1">
        <f t="shared" si="18"/>
        <v>5.3017112344733164E-7</v>
      </c>
      <c r="Z9" s="1"/>
      <c r="AA9" s="17">
        <f t="shared" si="7"/>
        <v>9.8115602728699471</v>
      </c>
      <c r="AB9" s="19">
        <f t="shared" si="8"/>
        <v>26.899392105057821</v>
      </c>
      <c r="AC9" s="17">
        <f t="shared" si="9"/>
        <v>18.162029377349544</v>
      </c>
      <c r="AD9" s="17">
        <f t="shared" si="10"/>
        <v>7.6793885492974501E-2</v>
      </c>
      <c r="AE9" s="17">
        <f t="shared" si="11"/>
        <v>10.142244928522851</v>
      </c>
      <c r="AF9" s="19">
        <f t="shared" si="12"/>
        <v>43.47068466039245</v>
      </c>
      <c r="AG9" s="19">
        <f t="shared" si="13"/>
        <v>0.95879718153586757</v>
      </c>
      <c r="AH9" s="19">
        <f t="shared" si="14"/>
        <v>0.37804834014799282</v>
      </c>
      <c r="AI9" s="24">
        <f t="shared" si="15"/>
        <v>-1.9148346603924509</v>
      </c>
    </row>
    <row r="10" spans="1:35" ht="13.15" x14ac:dyDescent="0.4">
      <c r="A10">
        <v>7</v>
      </c>
      <c r="B10" t="s">
        <v>34</v>
      </c>
      <c r="C10">
        <v>15</v>
      </c>
      <c r="D10" s="15">
        <v>43337</v>
      </c>
      <c r="E10">
        <v>84.481639999999999</v>
      </c>
      <c r="F10">
        <v>24.750399999999999</v>
      </c>
      <c r="G10">
        <v>51.355200000000004</v>
      </c>
      <c r="H10">
        <v>0.28160000000000002</v>
      </c>
      <c r="I10" s="5">
        <f t="shared" si="19"/>
        <v>160.86884000000001</v>
      </c>
      <c r="J10">
        <v>14.873760000000001</v>
      </c>
      <c r="K10">
        <v>121.54304999999999</v>
      </c>
      <c r="L10">
        <v>16.258880000000001</v>
      </c>
      <c r="M10">
        <v>1.6327699894659999</v>
      </c>
      <c r="N10" s="2">
        <f t="shared" si="16"/>
        <v>152.67569</v>
      </c>
      <c r="O10" s="2"/>
      <c r="P10" s="14">
        <v>0.96012553968614145</v>
      </c>
      <c r="Q10">
        <f t="shared" si="0"/>
        <v>0.52515850801186847</v>
      </c>
      <c r="R10">
        <f t="shared" si="1"/>
        <v>0.15385453143069844</v>
      </c>
      <c r="S10">
        <f t="shared" si="2"/>
        <v>0.31923646617952861</v>
      </c>
      <c r="T10">
        <f t="shared" si="3"/>
        <v>1.7504943779043847E-3</v>
      </c>
      <c r="U10">
        <f t="shared" si="4"/>
        <v>9.7420617519396832E-2</v>
      </c>
      <c r="V10">
        <f t="shared" si="5"/>
        <v>0.79608646274989814</v>
      </c>
      <c r="W10">
        <f t="shared" si="6"/>
        <v>0.106492919730705</v>
      </c>
      <c r="X10">
        <f t="shared" si="17"/>
        <v>1.0694367842490182E-2</v>
      </c>
      <c r="Y10" s="1">
        <f t="shared" si="18"/>
        <v>-1.5099033134902129E-14</v>
      </c>
      <c r="Z10" s="1"/>
      <c r="AA10" s="17">
        <f t="shared" si="7"/>
        <v>82.712559644681619</v>
      </c>
      <c r="AB10" s="19">
        <f t="shared" si="8"/>
        <v>24.598559602464327</v>
      </c>
      <c r="AC10" s="17">
        <f t="shared" si="9"/>
        <v>50.701480051712132</v>
      </c>
      <c r="AD10" s="17">
        <f t="shared" si="10"/>
        <v>0.28158034431476187</v>
      </c>
      <c r="AE10" s="17">
        <f t="shared" si="11"/>
        <v>16.32792085771711</v>
      </c>
      <c r="AF10" s="19">
        <f t="shared" si="12"/>
        <v>125.4012540033892</v>
      </c>
      <c r="AG10" s="19">
        <f t="shared" si="13"/>
        <v>14.931538526989815</v>
      </c>
      <c r="AH10" s="19">
        <f t="shared" si="14"/>
        <v>1.6334662550767236</v>
      </c>
      <c r="AI10" s="24">
        <f t="shared" si="15"/>
        <v>-3.8582040033892042</v>
      </c>
    </row>
    <row r="11" spans="1:35" ht="13.15" x14ac:dyDescent="0.4">
      <c r="A11">
        <v>8</v>
      </c>
      <c r="B11" t="s">
        <v>34</v>
      </c>
      <c r="C11">
        <v>50</v>
      </c>
      <c r="D11" s="15">
        <v>43336</v>
      </c>
      <c r="E11">
        <v>27.6098</v>
      </c>
      <c r="F11">
        <v>16.966000000000001</v>
      </c>
      <c r="G11">
        <v>17.283000000000001</v>
      </c>
      <c r="H11">
        <v>0.33279999999999998</v>
      </c>
      <c r="I11" s="5">
        <f t="shared" si="19"/>
        <v>62.191600000000001</v>
      </c>
      <c r="J11">
        <v>5.4649799999999997</v>
      </c>
      <c r="K11">
        <v>39.556170000000002</v>
      </c>
      <c r="L11">
        <v>11.686070000000001</v>
      </c>
      <c r="M11">
        <v>0.32084999793000002</v>
      </c>
      <c r="N11" s="2">
        <f t="shared" si="16"/>
        <v>56.70722</v>
      </c>
      <c r="O11" s="2"/>
      <c r="P11" s="14">
        <v>0.90111881150338857</v>
      </c>
      <c r="Q11">
        <f t="shared" si="0"/>
        <v>0.44394741412023486</v>
      </c>
      <c r="R11">
        <f t="shared" si="1"/>
        <v>0.27280211475504734</v>
      </c>
      <c r="S11">
        <f t="shared" si="2"/>
        <v>0.27789926613883548</v>
      </c>
      <c r="T11">
        <f t="shared" si="3"/>
        <v>5.3512049858823376E-3</v>
      </c>
      <c r="U11">
        <f t="shared" si="4"/>
        <v>9.6371855294616796E-2</v>
      </c>
      <c r="V11">
        <f t="shared" si="5"/>
        <v>0.69755085860319022</v>
      </c>
      <c r="W11">
        <f t="shared" si="6"/>
        <v>0.206077286102193</v>
      </c>
      <c r="X11">
        <f t="shared" si="17"/>
        <v>5.6580096490358731E-3</v>
      </c>
      <c r="Y11" s="1">
        <f t="shared" si="18"/>
        <v>4.7056003399381652E-7</v>
      </c>
      <c r="Z11" s="1"/>
      <c r="AA11" s="17">
        <f t="shared" si="7"/>
        <v>26.397783676035715</v>
      </c>
      <c r="AB11" s="19">
        <f t="shared" si="8"/>
        <v>16.508342195276011</v>
      </c>
      <c r="AC11" s="17">
        <f t="shared" si="9"/>
        <v>16.808080275041316</v>
      </c>
      <c r="AD11" s="17">
        <f t="shared" si="10"/>
        <v>0.33262390436824035</v>
      </c>
      <c r="AE11" s="17">
        <f t="shared" si="11"/>
        <v>11.924198999635792</v>
      </c>
      <c r="AF11" s="19">
        <f t="shared" si="12"/>
        <v>42.284543294989092</v>
      </c>
      <c r="AG11" s="19">
        <f t="shared" si="13"/>
        <v>5.5170577814274608</v>
      </c>
      <c r="AH11" s="19">
        <f t="shared" si="14"/>
        <v>0.32102950410891179</v>
      </c>
      <c r="AI11" s="24">
        <f t="shared" si="15"/>
        <v>-2.7283732949890904</v>
      </c>
    </row>
    <row r="12" spans="1:35" ht="13.15" x14ac:dyDescent="0.4">
      <c r="A12">
        <v>9</v>
      </c>
      <c r="B12" t="s">
        <v>34</v>
      </c>
      <c r="C12">
        <v>100</v>
      </c>
      <c r="D12" s="15">
        <v>43336</v>
      </c>
      <c r="E12">
        <v>35.523159999999997</v>
      </c>
      <c r="F12">
        <v>17.015899999999998</v>
      </c>
      <c r="G12">
        <v>23.208600000000001</v>
      </c>
      <c r="H12">
        <v>0.30719999999999997</v>
      </c>
      <c r="I12" s="5">
        <f t="shared" si="19"/>
        <v>76.054859999999991</v>
      </c>
      <c r="J12">
        <v>6.8171400000000002</v>
      </c>
      <c r="K12">
        <v>52.366619999999998</v>
      </c>
      <c r="L12">
        <v>11.046860000000001</v>
      </c>
      <c r="M12">
        <v>0.52048999664200002</v>
      </c>
      <c r="N12" s="2">
        <f t="shared" si="16"/>
        <v>70.230620000000002</v>
      </c>
      <c r="O12" s="2"/>
      <c r="P12" s="14">
        <v>0.92305837434408666</v>
      </c>
      <c r="Q12">
        <f t="shared" si="0"/>
        <v>0.46707284715270003</v>
      </c>
      <c r="R12">
        <f t="shared" si="1"/>
        <v>0.22373192193109029</v>
      </c>
      <c r="S12">
        <f t="shared" si="2"/>
        <v>0.30515604131018059</v>
      </c>
      <c r="T12">
        <f t="shared" si="3"/>
        <v>4.0391896060291222E-3</v>
      </c>
      <c r="U12">
        <f t="shared" si="4"/>
        <v>9.7067917099407638E-2</v>
      </c>
      <c r="V12">
        <f t="shared" si="5"/>
        <v>0.74563801373247163</v>
      </c>
      <c r="W12">
        <f t="shared" si="6"/>
        <v>0.15729406916812069</v>
      </c>
      <c r="X12">
        <f t="shared" si="17"/>
        <v>7.4111548017374755E-3</v>
      </c>
      <c r="Y12" s="1">
        <f t="shared" si="18"/>
        <v>6.3628369706414389E-7</v>
      </c>
      <c r="Z12" s="1"/>
      <c r="AA12" s="17">
        <f t="shared" si="7"/>
        <v>34.246551973441164</v>
      </c>
      <c r="AB12" s="19">
        <f t="shared" si="8"/>
        <v>16.722983230328726</v>
      </c>
      <c r="AC12" s="17">
        <f t="shared" si="9"/>
        <v>22.663680594850305</v>
      </c>
      <c r="AD12" s="17">
        <f t="shared" si="10"/>
        <v>0.30710452782654862</v>
      </c>
      <c r="AE12" s="17">
        <f t="shared" si="11"/>
        <v>11.180554196606751</v>
      </c>
      <c r="AF12" s="19">
        <f t="shared" si="12"/>
        <v>55.370924457937988</v>
      </c>
      <c r="AG12" s="19">
        <f t="shared" si="13"/>
        <v>6.8680542418921604</v>
      </c>
      <c r="AH12" s="19">
        <f t="shared" si="14"/>
        <v>0.52078679372615677</v>
      </c>
      <c r="AI12" s="24">
        <f t="shared" si="15"/>
        <v>-3.0043044579379909</v>
      </c>
    </row>
    <row r="13" spans="1:35" ht="13.15" x14ac:dyDescent="0.4">
      <c r="A13">
        <v>10</v>
      </c>
      <c r="B13" t="s">
        <v>35</v>
      </c>
      <c r="C13">
        <v>50</v>
      </c>
      <c r="D13" s="15">
        <v>43336</v>
      </c>
      <c r="E13">
        <v>42.914760000000001</v>
      </c>
      <c r="F13">
        <v>29.091699999999999</v>
      </c>
      <c r="G13">
        <v>26.253699999999998</v>
      </c>
      <c r="H13">
        <v>0.28160000000000002</v>
      </c>
      <c r="I13" s="5">
        <f t="shared" si="19"/>
        <v>98.541759999999996</v>
      </c>
      <c r="J13">
        <v>4.4226900000000002</v>
      </c>
      <c r="K13">
        <v>75.675389999999993</v>
      </c>
      <c r="L13">
        <v>14.04623</v>
      </c>
      <c r="M13">
        <v>5.7039999632000002E-2</v>
      </c>
      <c r="N13" s="2">
        <f t="shared" si="16"/>
        <v>94.14430999999999</v>
      </c>
      <c r="O13" s="2"/>
      <c r="P13" s="14">
        <v>0.95544015536683746</v>
      </c>
      <c r="Q13">
        <f t="shared" si="0"/>
        <v>0.43549820908414871</v>
      </c>
      <c r="R13">
        <f t="shared" si="1"/>
        <v>0.29522204596305163</v>
      </c>
      <c r="S13">
        <f t="shared" si="2"/>
        <v>0.26642207324082701</v>
      </c>
      <c r="T13">
        <f t="shared" si="3"/>
        <v>2.8576717119726705E-3</v>
      </c>
      <c r="U13">
        <f t="shared" si="4"/>
        <v>4.6977772740593678E-2</v>
      </c>
      <c r="V13">
        <f t="shared" si="5"/>
        <v>0.80382330063282637</v>
      </c>
      <c r="W13">
        <f t="shared" si="6"/>
        <v>0.14919892662657999</v>
      </c>
      <c r="X13">
        <f t="shared" si="17"/>
        <v>6.0587835453889891E-4</v>
      </c>
      <c r="Y13" s="1">
        <f t="shared" si="18"/>
        <v>-1.4502288259166107E-15</v>
      </c>
      <c r="Z13" s="1"/>
      <c r="AA13" s="17">
        <f t="shared" si="7"/>
        <v>42.081967645644433</v>
      </c>
      <c r="AB13" s="19">
        <f t="shared" si="8"/>
        <v>28.708997275540973</v>
      </c>
      <c r="AC13" s="17">
        <f t="shared" si="9"/>
        <v>25.942023262113615</v>
      </c>
      <c r="AD13" s="17">
        <f t="shared" si="10"/>
        <v>0.28156414178604855</v>
      </c>
      <c r="AE13" s="17">
        <f t="shared" si="11"/>
        <v>14.139613283888975</v>
      </c>
      <c r="AF13" s="19">
        <f t="shared" si="12"/>
        <v>78.385949386205112</v>
      </c>
      <c r="AG13" s="19">
        <f t="shared" si="13"/>
        <v>4.4319481154019007</v>
      </c>
      <c r="AH13" s="19">
        <f t="shared" si="14"/>
        <v>5.7041539589088537E-2</v>
      </c>
      <c r="AI13" s="24">
        <f t="shared" si="15"/>
        <v>-2.7105593862051194</v>
      </c>
    </row>
    <row r="14" spans="1:35" ht="13.15" x14ac:dyDescent="0.4">
      <c r="A14">
        <v>11</v>
      </c>
      <c r="B14" t="s">
        <v>35</v>
      </c>
      <c r="C14">
        <v>100</v>
      </c>
      <c r="D14" s="15">
        <v>43336</v>
      </c>
      <c r="E14">
        <v>73.220320000000001</v>
      </c>
      <c r="F14">
        <v>29.2913</v>
      </c>
      <c r="G14">
        <v>29.1342</v>
      </c>
      <c r="H14">
        <v>0.64</v>
      </c>
      <c r="I14" s="5">
        <f t="shared" si="19"/>
        <v>132.28581999999997</v>
      </c>
      <c r="J14">
        <v>18.451350000000001</v>
      </c>
      <c r="K14">
        <v>88.360860000000002</v>
      </c>
      <c r="L14">
        <v>17.406179999999999</v>
      </c>
      <c r="M14">
        <v>5.7039999632000002E-2</v>
      </c>
      <c r="N14" s="2">
        <f t="shared" si="16"/>
        <v>124.21839</v>
      </c>
      <c r="O14" s="2"/>
      <c r="P14" s="14">
        <v>0.9340528570381601</v>
      </c>
      <c r="Q14">
        <f t="shared" si="0"/>
        <v>0.55350089677034175</v>
      </c>
      <c r="R14">
        <f t="shared" si="1"/>
        <v>0.22142433709070258</v>
      </c>
      <c r="S14">
        <f t="shared" si="2"/>
        <v>0.22023675704622012</v>
      </c>
      <c r="T14">
        <f t="shared" si="3"/>
        <v>4.8380090927357157E-3</v>
      </c>
      <c r="U14">
        <f t="shared" si="4"/>
        <v>0.14853960029589822</v>
      </c>
      <c r="V14">
        <f t="shared" si="5"/>
        <v>0.71133477096265696</v>
      </c>
      <c r="W14">
        <f t="shared" si="6"/>
        <v>0.1401256287414448</v>
      </c>
      <c r="X14">
        <f t="shared" si="17"/>
        <v>4.5919126493267222E-4</v>
      </c>
      <c r="Y14" s="1">
        <f t="shared" si="18"/>
        <v>3.462508058049707E-14</v>
      </c>
      <c r="Z14" s="1"/>
      <c r="AA14" s="17">
        <f t="shared" si="7"/>
        <v>70.547646320690092</v>
      </c>
      <c r="AB14" s="19">
        <f t="shared" si="8"/>
        <v>28.863579579319808</v>
      </c>
      <c r="AC14" s="17">
        <f t="shared" si="9"/>
        <v>28.71105531905711</v>
      </c>
      <c r="AD14" s="17">
        <f t="shared" si="10"/>
        <v>0.63979580615853482</v>
      </c>
      <c r="AE14" s="17">
        <f t="shared" si="11"/>
        <v>17.567028505427903</v>
      </c>
      <c r="AF14" s="19">
        <f t="shared" si="12"/>
        <v>92.505911754954184</v>
      </c>
      <c r="AG14" s="19">
        <f t="shared" si="13"/>
        <v>18.632095037906087</v>
      </c>
      <c r="AH14" s="19">
        <f t="shared" si="14"/>
        <v>5.7041726937346673E-2</v>
      </c>
      <c r="AI14" s="24">
        <f t="shared" si="15"/>
        <v>-4.1450517549541814</v>
      </c>
    </row>
    <row r="15" spans="1:35" ht="13.15" x14ac:dyDescent="0.4">
      <c r="A15">
        <v>12</v>
      </c>
      <c r="B15" t="s">
        <v>37</v>
      </c>
      <c r="C15">
        <v>15</v>
      </c>
      <c r="D15" s="15">
        <v>43408</v>
      </c>
      <c r="E15">
        <v>49.43676</v>
      </c>
      <c r="F15">
        <v>17.714500000000001</v>
      </c>
      <c r="G15">
        <v>26.500599999999999</v>
      </c>
      <c r="H15">
        <v>0.64</v>
      </c>
      <c r="I15" s="5">
        <f t="shared" si="19"/>
        <v>94.29186</v>
      </c>
      <c r="J15">
        <v>9.1270799999999994</v>
      </c>
      <c r="K15">
        <v>69.426389999999998</v>
      </c>
      <c r="L15">
        <v>8.1294400000000007</v>
      </c>
      <c r="M15">
        <v>2.0534399867520001</v>
      </c>
      <c r="N15" s="2">
        <f t="shared" si="16"/>
        <v>86.682910000000007</v>
      </c>
      <c r="O15" s="2"/>
      <c r="P15" s="14">
        <v>0.94094724869095192</v>
      </c>
      <c r="Q15">
        <f t="shared" si="0"/>
        <v>0.52429509821950693</v>
      </c>
      <c r="R15">
        <f t="shared" si="1"/>
        <v>0.18786881497512087</v>
      </c>
      <c r="S15">
        <f t="shared" si="2"/>
        <v>0.28104865043493676</v>
      </c>
      <c r="T15">
        <f t="shared" si="3"/>
        <v>6.7874363704353699E-3</v>
      </c>
      <c r="U15">
        <f t="shared" si="4"/>
        <v>0.10529272725154241</v>
      </c>
      <c r="V15">
        <f t="shared" si="5"/>
        <v>0.80092361920013977</v>
      </c>
      <c r="W15">
        <f t="shared" si="6"/>
        <v>9.378365354831765E-2</v>
      </c>
      <c r="X15">
        <f t="shared" si="17"/>
        <v>2.3689098424960583E-2</v>
      </c>
      <c r="Y15" s="1">
        <f t="shared" si="18"/>
        <v>8.8521547159103875E-7</v>
      </c>
      <c r="Z15" s="1"/>
      <c r="AA15" s="17">
        <f t="shared" si="7"/>
        <v>47.906145109581715</v>
      </c>
      <c r="AB15" s="19">
        <f t="shared" si="8"/>
        <v>17.517972318281775</v>
      </c>
      <c r="AC15" s="17">
        <f t="shared" si="9"/>
        <v>26.060777596395599</v>
      </c>
      <c r="AD15" s="17">
        <f t="shared" si="10"/>
        <v>0.63974347725311409</v>
      </c>
      <c r="AE15" s="17">
        <f t="shared" si="11"/>
        <v>8.1744623245364707</v>
      </c>
      <c r="AF15" s="19">
        <f t="shared" si="12"/>
        <v>72.71003214622624</v>
      </c>
      <c r="AG15" s="19">
        <f t="shared" si="13"/>
        <v>9.1838305883644544</v>
      </c>
      <c r="AH15" s="19">
        <f t="shared" si="14"/>
        <v>2.0563125571695648</v>
      </c>
      <c r="AI15" s="24">
        <f t="shared" si="15"/>
        <v>-3.2836421462262422</v>
      </c>
    </row>
    <row r="16" spans="1:35" ht="13.15" x14ac:dyDescent="0.4">
      <c r="A16">
        <v>13</v>
      </c>
      <c r="B16" t="s">
        <v>37</v>
      </c>
      <c r="C16">
        <v>50</v>
      </c>
      <c r="D16" s="15">
        <v>43408</v>
      </c>
      <c r="E16">
        <v>100.83011999999999</v>
      </c>
      <c r="F16">
        <v>25.249400000000001</v>
      </c>
      <c r="G16">
        <v>49.791499999999999</v>
      </c>
      <c r="H16">
        <v>0.53759999999999997</v>
      </c>
      <c r="I16" s="5">
        <f t="shared" si="19"/>
        <v>176.40861999999998</v>
      </c>
      <c r="J16">
        <v>29.099609999999998</v>
      </c>
      <c r="K16">
        <v>127.60458</v>
      </c>
      <c r="L16">
        <v>9.6864899999999992</v>
      </c>
      <c r="M16">
        <v>6.3956099587380004</v>
      </c>
      <c r="N16" s="2">
        <f t="shared" si="16"/>
        <v>166.39067999999997</v>
      </c>
      <c r="O16" s="2"/>
      <c r="P16" s="14">
        <v>0.97977023286146192</v>
      </c>
      <c r="Q16">
        <f t="shared" si="0"/>
        <v>0.5715713891985551</v>
      </c>
      <c r="R16">
        <f t="shared" si="1"/>
        <v>0.14313019397804938</v>
      </c>
      <c r="S16">
        <f t="shared" si="2"/>
        <v>0.2822509466941015</v>
      </c>
      <c r="T16">
        <f t="shared" si="3"/>
        <v>3.0474701292941353E-3</v>
      </c>
      <c r="U16">
        <f t="shared" si="4"/>
        <v>0.17488725931043736</v>
      </c>
      <c r="V16">
        <f t="shared" si="5"/>
        <v>0.76689740074383983</v>
      </c>
      <c r="W16">
        <f t="shared" si="6"/>
        <v>5.8215339945722928E-2</v>
      </c>
      <c r="X16">
        <f t="shared" si="17"/>
        <v>3.843730886091698E-2</v>
      </c>
      <c r="Y16" s="1">
        <f t="shared" si="18"/>
        <v>-1.3056222769591841E-13</v>
      </c>
      <c r="Z16" s="1"/>
      <c r="AA16" s="17">
        <f t="shared" si="7"/>
        <v>99.66424591424709</v>
      </c>
      <c r="AB16" s="19">
        <f t="shared" si="8"/>
        <v>25.176290602303887</v>
      </c>
      <c r="AC16" s="17">
        <f t="shared" si="9"/>
        <v>49.507196961775442</v>
      </c>
      <c r="AD16" s="17">
        <f t="shared" si="10"/>
        <v>0.53756685716908481</v>
      </c>
      <c r="AE16" s="17">
        <f t="shared" si="11"/>
        <v>9.6978976123843932</v>
      </c>
      <c r="AF16" s="19">
        <f t="shared" si="12"/>
        <v>129.5842573395326</v>
      </c>
      <c r="AG16" s="19">
        <f t="shared" si="13"/>
        <v>29.202562340470077</v>
      </c>
      <c r="AH16" s="19">
        <f t="shared" si="14"/>
        <v>6.4005830431085462</v>
      </c>
      <c r="AI16" s="24">
        <f t="shared" si="15"/>
        <v>-1.9796773395325999</v>
      </c>
    </row>
    <row r="17" spans="1:35" ht="13.15" x14ac:dyDescent="0.4">
      <c r="A17">
        <v>14</v>
      </c>
      <c r="B17" t="s">
        <v>37</v>
      </c>
      <c r="C17">
        <v>100</v>
      </c>
      <c r="D17" s="15">
        <v>43408</v>
      </c>
      <c r="E17">
        <v>124.43976000000001</v>
      </c>
      <c r="F17">
        <v>22.804300000000001</v>
      </c>
      <c r="G17">
        <v>56.128599999999999</v>
      </c>
      <c r="H17">
        <v>0.51200000000000001</v>
      </c>
      <c r="I17" s="5">
        <f t="shared" si="19"/>
        <v>203.88466000000003</v>
      </c>
      <c r="J17">
        <v>23.324760000000001</v>
      </c>
      <c r="K17">
        <v>165.41103000000001</v>
      </c>
      <c r="L17">
        <v>11.75163</v>
      </c>
      <c r="M17">
        <v>1.575729989834</v>
      </c>
      <c r="N17" s="2">
        <f t="shared" si="16"/>
        <v>200.48742000000001</v>
      </c>
      <c r="O17" s="2"/>
      <c r="P17" s="14">
        <v>0.99221049330296662</v>
      </c>
      <c r="Q17">
        <f t="shared" si="0"/>
        <v>0.61034390718752451</v>
      </c>
      <c r="R17">
        <f t="shared" si="1"/>
        <v>0.11184902287401122</v>
      </c>
      <c r="S17">
        <f t="shared" si="2"/>
        <v>0.27529584619068442</v>
      </c>
      <c r="T17">
        <f t="shared" si="3"/>
        <v>2.5112237477797495E-3</v>
      </c>
      <c r="U17">
        <f t="shared" si="4"/>
        <v>0.11634026713496537</v>
      </c>
      <c r="V17">
        <f t="shared" si="5"/>
        <v>0.82504443420938833</v>
      </c>
      <c r="W17">
        <f t="shared" si="6"/>
        <v>5.8615298655646325E-2</v>
      </c>
      <c r="X17">
        <f t="shared" si="17"/>
        <v>7.8594955725102347E-3</v>
      </c>
      <c r="Y17" s="1">
        <f t="shared" si="18"/>
        <v>2.3201970162922692E-6</v>
      </c>
      <c r="Z17" s="1"/>
      <c r="AA17" s="17">
        <f t="shared" si="7"/>
        <v>123.8481387926138</v>
      </c>
      <c r="AB17" s="19">
        <f t="shared" si="8"/>
        <v>22.784431782980207</v>
      </c>
      <c r="AC17" s="17">
        <f t="shared" si="9"/>
        <v>56.008236772833691</v>
      </c>
      <c r="AD17" s="17">
        <f t="shared" si="10"/>
        <v>0.51198998466856904</v>
      </c>
      <c r="AE17" s="17">
        <f t="shared" si="11"/>
        <v>11.756995609304111</v>
      </c>
      <c r="AF17" s="19">
        <f t="shared" si="12"/>
        <v>166.47407527106753</v>
      </c>
      <c r="AG17" s="19">
        <f t="shared" si="13"/>
        <v>23.345897673992855</v>
      </c>
      <c r="AH17" s="19">
        <f t="shared" si="14"/>
        <v>1.5758264585347415</v>
      </c>
      <c r="AI17" s="24">
        <f t="shared" si="15"/>
        <v>-1.0630452710675229</v>
      </c>
    </row>
    <row r="18" spans="1:35" ht="13.15" x14ac:dyDescent="0.4">
      <c r="A18">
        <v>15</v>
      </c>
      <c r="B18" t="s">
        <v>38</v>
      </c>
      <c r="C18">
        <v>15</v>
      </c>
      <c r="D18" s="15">
        <v>43408</v>
      </c>
      <c r="E18">
        <v>119.43956</v>
      </c>
      <c r="F18">
        <v>18.862200000000001</v>
      </c>
      <c r="G18">
        <v>50.696800000000003</v>
      </c>
      <c r="H18">
        <v>0.8448</v>
      </c>
      <c r="I18" s="5">
        <f t="shared" si="19"/>
        <v>189.84335999999999</v>
      </c>
      <c r="J18">
        <v>16.704809999999998</v>
      </c>
      <c r="K18">
        <v>154.47528</v>
      </c>
      <c r="L18">
        <v>6.9821400000000002</v>
      </c>
      <c r="M18">
        <v>1.882319987856</v>
      </c>
      <c r="N18" s="2">
        <f t="shared" si="16"/>
        <v>178.16222999999999</v>
      </c>
      <c r="O18" s="2"/>
      <c r="P18" s="14">
        <v>0.95671114649376343</v>
      </c>
      <c r="Q18">
        <f t="shared" si="0"/>
        <v>0.62914794596977219</v>
      </c>
      <c r="R18">
        <f t="shared" si="1"/>
        <v>9.9356648554892846E-2</v>
      </c>
      <c r="S18">
        <f t="shared" si="2"/>
        <v>0.26704542102499662</v>
      </c>
      <c r="T18">
        <f t="shared" si="3"/>
        <v>4.4499844503384269E-3</v>
      </c>
      <c r="U18">
        <f t="shared" si="4"/>
        <v>9.376179227213309E-2</v>
      </c>
      <c r="V18">
        <f t="shared" si="5"/>
        <v>0.86704841985868719</v>
      </c>
      <c r="W18">
        <f t="shared" si="6"/>
        <v>3.9189787869179683E-2</v>
      </c>
      <c r="X18">
        <f t="shared" si="17"/>
        <v>1.0565202219662383E-2</v>
      </c>
      <c r="Y18" s="1">
        <f t="shared" si="18"/>
        <v>2.1655986934820959E-6</v>
      </c>
      <c r="Z18" s="1"/>
      <c r="AA18" s="17">
        <f t="shared" si="7"/>
        <v>116.18661244365025</v>
      </c>
      <c r="AB18" s="19">
        <f t="shared" si="8"/>
        <v>18.781073009999592</v>
      </c>
      <c r="AC18" s="17">
        <f t="shared" si="9"/>
        <v>50.110740423698054</v>
      </c>
      <c r="AD18" s="17">
        <f t="shared" si="10"/>
        <v>0.84463726218434043</v>
      </c>
      <c r="AE18" s="17">
        <f t="shared" si="11"/>
        <v>6.9939850677516562</v>
      </c>
      <c r="AF18" s="19">
        <f t="shared" si="12"/>
        <v>160.27328286973506</v>
      </c>
      <c r="AG18" s="19">
        <f t="shared" si="13"/>
        <v>16.772612159208268</v>
      </c>
      <c r="AH18" s="19">
        <f t="shared" si="14"/>
        <v>1.8831808772385485</v>
      </c>
      <c r="AI18" s="24">
        <f t="shared" si="15"/>
        <v>-5.7980028697350576</v>
      </c>
    </row>
    <row r="19" spans="1:35" ht="13.15" x14ac:dyDescent="0.4">
      <c r="A19">
        <v>16</v>
      </c>
      <c r="B19" t="s">
        <v>38</v>
      </c>
      <c r="C19">
        <v>50</v>
      </c>
      <c r="D19" s="15">
        <v>43408</v>
      </c>
      <c r="E19">
        <v>135.875</v>
      </c>
      <c r="F19">
        <v>19.510899999999999</v>
      </c>
      <c r="G19">
        <v>51.684399999999997</v>
      </c>
      <c r="H19">
        <v>0.94720000000000004</v>
      </c>
      <c r="I19" s="5">
        <f t="shared" si="19"/>
        <v>208.01749999999998</v>
      </c>
      <c r="J19">
        <v>26.423459999999999</v>
      </c>
      <c r="K19">
        <v>177.40911</v>
      </c>
      <c r="L19">
        <v>8.4900199999999995</v>
      </c>
      <c r="M19">
        <v>3.215629979254</v>
      </c>
      <c r="N19" s="2">
        <f t="shared" si="16"/>
        <v>212.32258999999999</v>
      </c>
      <c r="O19" s="2"/>
      <c r="P19" s="14">
        <v>1.0294535979633228</v>
      </c>
      <c r="Q19">
        <f t="shared" si="0"/>
        <v>0.65319023639838003</v>
      </c>
      <c r="R19">
        <f t="shared" si="1"/>
        <v>9.3794512480921077E-2</v>
      </c>
      <c r="S19">
        <f t="shared" si="2"/>
        <v>0.2484617880707152</v>
      </c>
      <c r="T19">
        <f t="shared" si="3"/>
        <v>4.5534630499837756E-3</v>
      </c>
      <c r="U19">
        <f t="shared" si="4"/>
        <v>0.12444959342291369</v>
      </c>
      <c r="V19">
        <f t="shared" si="5"/>
        <v>0.83556398779800112</v>
      </c>
      <c r="W19">
        <f t="shared" si="6"/>
        <v>3.9986418779085167E-2</v>
      </c>
      <c r="X19">
        <f t="shared" si="17"/>
        <v>1.5145020505137961E-2</v>
      </c>
      <c r="Y19" s="1">
        <f t="shared" si="18"/>
        <v>2.6286210514925301E-6</v>
      </c>
      <c r="Z19" s="1"/>
      <c r="AA19" s="17">
        <f t="shared" si="7"/>
        <v>138.48907230550955</v>
      </c>
      <c r="AB19" s="19">
        <f t="shared" si="8"/>
        <v>19.564800536490583</v>
      </c>
      <c r="AC19" s="17">
        <f t="shared" si="9"/>
        <v>52.062631277639404</v>
      </c>
      <c r="AD19" s="17">
        <f t="shared" si="10"/>
        <v>0.94732703455207823</v>
      </c>
      <c r="AE19" s="17">
        <f t="shared" si="11"/>
        <v>8.4800209307110954</v>
      </c>
      <c r="AF19" s="19">
        <f t="shared" si="12"/>
        <v>173.04300691210588</v>
      </c>
      <c r="AG19" s="19">
        <f t="shared" si="13"/>
        <v>26.326605116752319</v>
      </c>
      <c r="AH19" s="19">
        <f t="shared" si="14"/>
        <v>3.2141955660012753</v>
      </c>
      <c r="AI19" s="24">
        <f t="shared" si="15"/>
        <v>4.3661030878941176</v>
      </c>
    </row>
    <row r="20" spans="1:35" ht="13.15" x14ac:dyDescent="0.4">
      <c r="A20">
        <v>17</v>
      </c>
      <c r="B20" t="s">
        <v>38</v>
      </c>
      <c r="C20">
        <v>100</v>
      </c>
      <c r="D20" s="15">
        <v>43408</v>
      </c>
      <c r="E20">
        <v>94.26464</v>
      </c>
      <c r="F20">
        <v>25.299299999999999</v>
      </c>
      <c r="G20">
        <v>47.569400000000002</v>
      </c>
      <c r="H20">
        <v>0.38400000000000001</v>
      </c>
      <c r="I20" s="5">
        <f t="shared" si="19"/>
        <v>167.51733999999999</v>
      </c>
      <c r="J20">
        <v>18.113309999999998</v>
      </c>
      <c r="K20">
        <v>136.16570999999999</v>
      </c>
      <c r="L20">
        <v>11.096030000000001</v>
      </c>
      <c r="M20">
        <v>0.27093999825199999</v>
      </c>
      <c r="N20" s="2">
        <f t="shared" si="16"/>
        <v>165.37505000000002</v>
      </c>
      <c r="O20" s="2"/>
      <c r="P20" s="14">
        <v>0.98989653083232443</v>
      </c>
      <c r="Q20">
        <f t="shared" si="0"/>
        <v>0.56271571647448559</v>
      </c>
      <c r="R20">
        <f t="shared" si="1"/>
        <v>0.15102496255014555</v>
      </c>
      <c r="S20">
        <f t="shared" si="2"/>
        <v>0.28396702096630716</v>
      </c>
      <c r="T20">
        <f t="shared" si="3"/>
        <v>2.2923000090617485E-3</v>
      </c>
      <c r="U20">
        <f t="shared" si="4"/>
        <v>0.10952867436774771</v>
      </c>
      <c r="V20">
        <f t="shared" si="5"/>
        <v>0.82337517055928311</v>
      </c>
      <c r="W20">
        <f t="shared" si="6"/>
        <v>6.7096155072968983E-2</v>
      </c>
      <c r="X20">
        <f t="shared" si="17"/>
        <v>1.638336606713044E-3</v>
      </c>
      <c r="Y20" s="1">
        <f t="shared" si="18"/>
        <v>1.8334702714950524E-6</v>
      </c>
      <c r="Z20" s="1"/>
      <c r="AA20" s="17">
        <f t="shared" si="7"/>
        <v>93.728709616993612</v>
      </c>
      <c r="AB20" s="19">
        <f t="shared" si="8"/>
        <v>25.260696403980564</v>
      </c>
      <c r="AC20" s="17">
        <f t="shared" si="9"/>
        <v>47.432920915842296</v>
      </c>
      <c r="AD20" s="17">
        <f t="shared" si="10"/>
        <v>0.38399110648993362</v>
      </c>
      <c r="AE20" s="17">
        <f t="shared" si="11"/>
        <v>11.103552042389332</v>
      </c>
      <c r="AF20" s="19">
        <f t="shared" si="12"/>
        <v>137.29846514077136</v>
      </c>
      <c r="AG20" s="19">
        <f t="shared" si="13"/>
        <v>18.133354543585227</v>
      </c>
      <c r="AH20" s="19">
        <f t="shared" si="14"/>
        <v>0.27094448309019736</v>
      </c>
      <c r="AI20" s="24">
        <f t="shared" si="15"/>
        <v>-1.1327551407713656</v>
      </c>
    </row>
    <row r="21" spans="1:35" ht="13.15" x14ac:dyDescent="0.4">
      <c r="A21">
        <v>18</v>
      </c>
      <c r="B21" t="s">
        <v>39</v>
      </c>
      <c r="C21">
        <v>15</v>
      </c>
      <c r="D21" s="15">
        <v>43408</v>
      </c>
      <c r="E21">
        <v>35.95796</v>
      </c>
      <c r="F21">
        <v>26.596699999999998</v>
      </c>
      <c r="G21">
        <v>26.253699999999998</v>
      </c>
      <c r="H21">
        <v>0.53759999999999997</v>
      </c>
      <c r="I21" s="5">
        <f t="shared" si="19"/>
        <v>89.345959999999991</v>
      </c>
      <c r="J21">
        <v>13.49343</v>
      </c>
      <c r="K21">
        <v>59.30301</v>
      </c>
      <c r="L21">
        <v>7.7360800000000003</v>
      </c>
      <c r="M21">
        <v>2.2815999852800002</v>
      </c>
      <c r="N21" s="2">
        <f t="shared" si="16"/>
        <v>80.532520000000005</v>
      </c>
      <c r="O21" s="2"/>
      <c r="P21" s="14">
        <v>0.91499999208607719</v>
      </c>
      <c r="Q21">
        <f t="shared" si="0"/>
        <v>0.40245759293425248</v>
      </c>
      <c r="R21">
        <f t="shared" si="1"/>
        <v>0.29768217835479077</v>
      </c>
      <c r="S21">
        <f t="shared" si="2"/>
        <v>0.29384316873421029</v>
      </c>
      <c r="T21">
        <f t="shared" si="3"/>
        <v>6.0170599767465707E-3</v>
      </c>
      <c r="U21">
        <f t="shared" si="4"/>
        <v>0.16755256137520594</v>
      </c>
      <c r="V21">
        <f t="shared" si="5"/>
        <v>0.73638587244010245</v>
      </c>
      <c r="W21">
        <f t="shared" si="6"/>
        <v>9.6061566184691596E-2</v>
      </c>
      <c r="X21">
        <f t="shared" si="17"/>
        <v>2.8331411773529502E-2</v>
      </c>
      <c r="Y21" s="1">
        <f t="shared" si="18"/>
        <v>7.0313319211479097E-7</v>
      </c>
      <c r="Z21" s="1"/>
      <c r="AA21" s="17">
        <f t="shared" si="7"/>
        <v>34.727877793057019</v>
      </c>
      <c r="AB21" s="19">
        <f t="shared" si="8"/>
        <v>25.923724031933439</v>
      </c>
      <c r="AC21" s="17">
        <f t="shared" si="9"/>
        <v>25.597969955033502</v>
      </c>
      <c r="AD21" s="17">
        <f t="shared" si="10"/>
        <v>0.53732504440170281</v>
      </c>
      <c r="AE21" s="17">
        <f t="shared" si="11"/>
        <v>7.799246902560208</v>
      </c>
      <c r="AF21" s="19">
        <f t="shared" si="12"/>
        <v>63.014951739960011</v>
      </c>
      <c r="AG21" s="19">
        <f t="shared" si="13"/>
        <v>13.68560301234241</v>
      </c>
      <c r="AH21" s="19">
        <f t="shared" si="14"/>
        <v>2.2870944664298265</v>
      </c>
      <c r="AI21" s="24">
        <f t="shared" si="15"/>
        <v>-3.711941739960011</v>
      </c>
    </row>
    <row r="22" spans="1:35" ht="13.15" x14ac:dyDescent="0.4">
      <c r="A22">
        <v>19</v>
      </c>
      <c r="B22" t="s">
        <v>39</v>
      </c>
      <c r="C22">
        <v>50</v>
      </c>
      <c r="D22" s="15">
        <v>43408</v>
      </c>
      <c r="E22">
        <v>76.437839999999994</v>
      </c>
      <c r="F22">
        <v>25.898099999999999</v>
      </c>
      <c r="G22">
        <v>33.989899999999999</v>
      </c>
      <c r="H22">
        <v>0.1792</v>
      </c>
      <c r="I22" s="5">
        <f t="shared" si="19"/>
        <v>136.50504000000001</v>
      </c>
      <c r="J22">
        <v>30.705300000000001</v>
      </c>
      <c r="K22">
        <v>92.797650000000004</v>
      </c>
      <c r="L22">
        <v>7.9983199999999997</v>
      </c>
      <c r="M22">
        <v>0.38501999751600002</v>
      </c>
      <c r="N22" s="2">
        <f t="shared" si="16"/>
        <v>131.50127000000001</v>
      </c>
      <c r="O22" s="2"/>
      <c r="P22" s="14">
        <v>0.96428494568079115</v>
      </c>
      <c r="Q22">
        <f t="shared" si="0"/>
        <v>0.55996350024878194</v>
      </c>
      <c r="R22">
        <f t="shared" si="1"/>
        <v>0.18972266518510963</v>
      </c>
      <c r="S22">
        <f t="shared" si="2"/>
        <v>0.24900106252487086</v>
      </c>
      <c r="T22">
        <f t="shared" si="3"/>
        <v>1.3127720412374516E-3</v>
      </c>
      <c r="U22">
        <f t="shared" si="4"/>
        <v>0.23349812515118676</v>
      </c>
      <c r="V22">
        <f t="shared" si="5"/>
        <v>0.70567873603045816</v>
      </c>
      <c r="W22">
        <f t="shared" si="6"/>
        <v>6.0823138818355132E-2</v>
      </c>
      <c r="X22">
        <f t="shared" si="17"/>
        <v>2.9278804494891953E-3</v>
      </c>
      <c r="Y22" s="1">
        <f t="shared" si="18"/>
        <v>1.2470343164761033E-6</v>
      </c>
      <c r="Z22" s="1"/>
      <c r="AA22" s="17">
        <f t="shared" si="7"/>
        <v>74.909149943369428</v>
      </c>
      <c r="AB22" s="19">
        <f t="shared" si="8"/>
        <v>25.72261563223487</v>
      </c>
      <c r="AC22" s="17">
        <f t="shared" si="9"/>
        <v>33.687624880070423</v>
      </c>
      <c r="AD22" s="17">
        <f t="shared" si="10"/>
        <v>0.17919159807812274</v>
      </c>
      <c r="AE22" s="17">
        <f t="shared" si="11"/>
        <v>8.0156947641872307</v>
      </c>
      <c r="AF22" s="19">
        <f t="shared" si="12"/>
        <v>95.136462059438514</v>
      </c>
      <c r="AG22" s="19">
        <f t="shared" si="13"/>
        <v>30.961363724263073</v>
      </c>
      <c r="AH22" s="19">
        <f t="shared" si="14"/>
        <v>0.38506025882970651</v>
      </c>
      <c r="AI22" s="24">
        <f t="shared" si="15"/>
        <v>-2.33881205943851</v>
      </c>
    </row>
    <row r="23" spans="1:35" ht="13.15" x14ac:dyDescent="0.4">
      <c r="A23">
        <v>20</v>
      </c>
      <c r="B23" t="s">
        <v>39</v>
      </c>
      <c r="C23">
        <v>100</v>
      </c>
      <c r="D23" s="15">
        <v>43408</v>
      </c>
      <c r="E23">
        <v>183.00731999999999</v>
      </c>
      <c r="F23">
        <v>24.900099999999998</v>
      </c>
      <c r="G23">
        <v>86.991100000000003</v>
      </c>
      <c r="H23">
        <v>1.1519999999999999</v>
      </c>
      <c r="I23" s="5">
        <f t="shared" si="19"/>
        <v>296.05052000000001</v>
      </c>
      <c r="J23">
        <v>50.846850000000003</v>
      </c>
      <c r="K23">
        <v>239.46168</v>
      </c>
      <c r="L23">
        <v>14.439590000000001</v>
      </c>
      <c r="M23">
        <v>5.7039999632000002E-2</v>
      </c>
      <c r="N23" s="2">
        <f t="shared" si="16"/>
        <v>304.74812000000003</v>
      </c>
      <c r="O23" s="2"/>
      <c r="P23" s="14">
        <v>1.0258922796935057</v>
      </c>
      <c r="Q23">
        <f t="shared" si="0"/>
        <v>0.61816246767612493</v>
      </c>
      <c r="R23">
        <f t="shared" si="1"/>
        <v>8.4107604337259723E-2</v>
      </c>
      <c r="S23">
        <f t="shared" si="2"/>
        <v>0.29383870023264946</v>
      </c>
      <c r="T23">
        <f t="shared" si="3"/>
        <v>3.8912277539657754E-3</v>
      </c>
      <c r="U23">
        <f t="shared" si="4"/>
        <v>0.16684877334107917</v>
      </c>
      <c r="V23">
        <f t="shared" si="5"/>
        <v>0.78576917882216957</v>
      </c>
      <c r="W23">
        <f t="shared" si="6"/>
        <v>4.7382047836751214E-2</v>
      </c>
      <c r="X23">
        <f t="shared" si="17"/>
        <v>1.871709647692002E-4</v>
      </c>
      <c r="Y23" s="1">
        <f t="shared" si="18"/>
        <v>3.4687254802864831E-6</v>
      </c>
      <c r="Z23" s="1"/>
      <c r="AA23" s="17">
        <f t="shared" si="7"/>
        <v>185.93646845941683</v>
      </c>
      <c r="AB23" s="19">
        <f t="shared" si="8"/>
        <v>24.954325884408448</v>
      </c>
      <c r="AC23" s="17">
        <f t="shared" si="9"/>
        <v>87.652941669005472</v>
      </c>
      <c r="AD23" s="17">
        <f t="shared" si="10"/>
        <v>1.152116067176475</v>
      </c>
      <c r="AE23" s="17">
        <f t="shared" si="11"/>
        <v>14.421875088846006</v>
      </c>
      <c r="AF23" s="19">
        <f t="shared" si="12"/>
        <v>234.58974702706942</v>
      </c>
      <c r="AG23" s="19">
        <f t="shared" si="13"/>
        <v>50.627186772166326</v>
      </c>
      <c r="AH23" s="19">
        <f t="shared" si="14"/>
        <v>5.703972320002116E-2</v>
      </c>
      <c r="AI23" s="24">
        <f t="shared" si="15"/>
        <v>4.8719329729305798</v>
      </c>
    </row>
    <row r="24" spans="1:35" ht="13.15" x14ac:dyDescent="0.4">
      <c r="A24">
        <v>21</v>
      </c>
      <c r="B24" t="s">
        <v>40</v>
      </c>
      <c r="C24">
        <v>15</v>
      </c>
      <c r="D24" s="15">
        <v>43408</v>
      </c>
      <c r="E24">
        <v>16.044119999999999</v>
      </c>
      <c r="F24">
        <v>25.698499999999999</v>
      </c>
      <c r="G24">
        <v>15.3078</v>
      </c>
      <c r="H24">
        <v>0.38400000000000001</v>
      </c>
      <c r="I24" s="5">
        <f t="shared" si="19"/>
        <v>57.434420000000003</v>
      </c>
      <c r="J24">
        <v>7.1833499999999999</v>
      </c>
      <c r="K24">
        <v>37.431510000000003</v>
      </c>
      <c r="L24">
        <v>6.6707299999999998</v>
      </c>
      <c r="M24">
        <v>0.57039999632000005</v>
      </c>
      <c r="N24" s="2">
        <f t="shared" si="16"/>
        <v>51.285589999999999</v>
      </c>
      <c r="O24" s="2"/>
      <c r="P24" s="14">
        <v>0.88676226502091782</v>
      </c>
      <c r="Q24">
        <f t="shared" si="0"/>
        <v>0.27934677498266719</v>
      </c>
      <c r="R24">
        <f t="shared" si="1"/>
        <v>0.44744075068573858</v>
      </c>
      <c r="S24">
        <f t="shared" si="2"/>
        <v>0.26652658806339474</v>
      </c>
      <c r="T24">
        <f t="shared" si="3"/>
        <v>6.6858862681994525E-3</v>
      </c>
      <c r="U24">
        <f t="shared" si="4"/>
        <v>0.14006565976914764</v>
      </c>
      <c r="V24">
        <f t="shared" si="5"/>
        <v>0.72986408072910935</v>
      </c>
      <c r="W24">
        <f t="shared" si="6"/>
        <v>0.13007025950174309</v>
      </c>
      <c r="X24">
        <f t="shared" si="17"/>
        <v>1.1122032452390624E-2</v>
      </c>
      <c r="Y24" s="1">
        <f t="shared" si="18"/>
        <v>-9.9920072216264089E-16</v>
      </c>
      <c r="Z24" s="1"/>
      <c r="AA24" s="17">
        <f t="shared" si="7"/>
        <v>15.536602832697293</v>
      </c>
      <c r="AB24" s="19">
        <f t="shared" si="8"/>
        <v>24.396429548139391</v>
      </c>
      <c r="AC24" s="17">
        <f t="shared" si="9"/>
        <v>14.845797321933052</v>
      </c>
      <c r="AD24" s="17">
        <f t="shared" si="10"/>
        <v>0.38370927566694196</v>
      </c>
      <c r="AE24" s="17">
        <f t="shared" si="11"/>
        <v>6.7689822587683208</v>
      </c>
      <c r="AF24" s="19">
        <f t="shared" si="12"/>
        <v>40.525155253253757</v>
      </c>
      <c r="AG24" s="19">
        <f t="shared" si="13"/>
        <v>7.2972830890806755</v>
      </c>
      <c r="AH24" s="19">
        <f t="shared" si="14"/>
        <v>0.571118377333936</v>
      </c>
      <c r="AI24" s="24">
        <f t="shared" si="15"/>
        <v>-3.0936452532537544</v>
      </c>
    </row>
    <row r="25" spans="1:35" ht="13.15" x14ac:dyDescent="0.4">
      <c r="A25">
        <v>22</v>
      </c>
      <c r="B25" t="s">
        <v>40</v>
      </c>
      <c r="C25">
        <v>50</v>
      </c>
      <c r="D25" s="15">
        <v>43408</v>
      </c>
      <c r="E25">
        <v>28.609839999999998</v>
      </c>
      <c r="F25">
        <v>25.049800000000001</v>
      </c>
      <c r="G25">
        <v>21.1511</v>
      </c>
      <c r="H25">
        <v>0.28160000000000002</v>
      </c>
      <c r="I25" s="5">
        <f t="shared" si="19"/>
        <v>75.092339999999993</v>
      </c>
      <c r="J25">
        <v>6.39459</v>
      </c>
      <c r="K25">
        <v>57.178350000000002</v>
      </c>
      <c r="L25">
        <v>6.5887799999999999</v>
      </c>
      <c r="M25">
        <v>0.35649999770000002</v>
      </c>
      <c r="N25" s="2">
        <f t="shared" si="16"/>
        <v>70.161720000000003</v>
      </c>
      <c r="O25" s="2"/>
      <c r="P25" s="14">
        <v>0.9373545884077531</v>
      </c>
      <c r="Q25">
        <f t="shared" si="0"/>
        <v>0.38099545173315946</v>
      </c>
      <c r="R25">
        <f t="shared" si="1"/>
        <v>0.3335866214849611</v>
      </c>
      <c r="S25">
        <f t="shared" si="2"/>
        <v>0.28166787717628722</v>
      </c>
      <c r="T25">
        <f t="shared" si="3"/>
        <v>3.7500496055922622E-3</v>
      </c>
      <c r="U25">
        <f t="shared" si="4"/>
        <v>9.1140724600252104E-2</v>
      </c>
      <c r="V25">
        <f t="shared" si="5"/>
        <v>0.81495080223232841</v>
      </c>
      <c r="W25">
        <f t="shared" si="6"/>
        <v>9.3908473167419487E-2</v>
      </c>
      <c r="X25">
        <f t="shared" si="17"/>
        <v>5.0811182750365872E-3</v>
      </c>
      <c r="Y25" s="1">
        <f t="shared" si="18"/>
        <v>2.8421709430404007E-14</v>
      </c>
      <c r="Z25" s="1"/>
      <c r="AA25" s="17">
        <f t="shared" si="7"/>
        <v>27.926991299635915</v>
      </c>
      <c r="AB25" s="19">
        <f t="shared" si="8"/>
        <v>24.526317515859201</v>
      </c>
      <c r="AC25" s="17">
        <f t="shared" si="9"/>
        <v>20.777884608206705</v>
      </c>
      <c r="AD25" s="17">
        <f t="shared" si="10"/>
        <v>0.28153384557026895</v>
      </c>
      <c r="AE25" s="17">
        <f t="shared" si="11"/>
        <v>6.6275413641633989</v>
      </c>
      <c r="AF25" s="19">
        <f t="shared" si="12"/>
        <v>60.097472210482806</v>
      </c>
      <c r="AG25" s="19">
        <f t="shared" si="13"/>
        <v>6.4311002198587586</v>
      </c>
      <c r="AH25" s="19">
        <f t="shared" si="14"/>
        <v>0.35661347476710592</v>
      </c>
      <c r="AI25" s="24">
        <f t="shared" si="15"/>
        <v>-2.9191222104828043</v>
      </c>
    </row>
    <row r="26" spans="1:35" ht="13.15" x14ac:dyDescent="0.4">
      <c r="A26">
        <v>23</v>
      </c>
      <c r="B26" t="s">
        <v>40</v>
      </c>
      <c r="C26">
        <v>100</v>
      </c>
      <c r="D26" s="15">
        <v>43408</v>
      </c>
      <c r="E26">
        <v>67.394000000000005</v>
      </c>
      <c r="F26">
        <v>22.1556</v>
      </c>
      <c r="G26">
        <v>44.195099999999996</v>
      </c>
      <c r="H26">
        <v>0.23039999999999999</v>
      </c>
      <c r="I26" s="5">
        <f t="shared" si="19"/>
        <v>133.9751</v>
      </c>
      <c r="J26">
        <v>11.69055</v>
      </c>
      <c r="K26">
        <v>106.8579</v>
      </c>
      <c r="L26">
        <v>10.35848</v>
      </c>
      <c r="M26">
        <v>0.64169999586000004</v>
      </c>
      <c r="N26" s="2">
        <f t="shared" si="16"/>
        <v>128.90692999999999</v>
      </c>
      <c r="O26" s="2"/>
      <c r="P26" s="14">
        <v>0.96896334582486321</v>
      </c>
      <c r="Q26">
        <f t="shared" si="0"/>
        <v>0.50303377269358263</v>
      </c>
      <c r="R26">
        <f t="shared" si="1"/>
        <v>0.16537102789996053</v>
      </c>
      <c r="S26">
        <f t="shared" si="2"/>
        <v>0.32987547686099877</v>
      </c>
      <c r="T26">
        <f t="shared" si="3"/>
        <v>1.7197225454580738E-3</v>
      </c>
      <c r="U26">
        <f t="shared" si="4"/>
        <v>9.0689848870033604E-2</v>
      </c>
      <c r="V26">
        <f t="shared" si="5"/>
        <v>0.82895388168812967</v>
      </c>
      <c r="W26">
        <f t="shared" si="6"/>
        <v>8.0356269441836839E-2</v>
      </c>
      <c r="X26">
        <f t="shared" si="17"/>
        <v>4.9780100717626286E-3</v>
      </c>
      <c r="Y26" s="1">
        <f t="shared" si="18"/>
        <v>1.3819420594529674E-6</v>
      </c>
      <c r="Z26" s="1"/>
      <c r="AA26" s="17">
        <f t="shared" si="7"/>
        <v>66.341812169634011</v>
      </c>
      <c r="AB26" s="19">
        <f t="shared" si="8"/>
        <v>22.041884978257016</v>
      </c>
      <c r="AC26" s="17">
        <f t="shared" si="9"/>
        <v>43.742620352880628</v>
      </c>
      <c r="AD26" s="17">
        <f t="shared" si="10"/>
        <v>0.23038770253042468</v>
      </c>
      <c r="AE26" s="17">
        <f t="shared" si="11"/>
        <v>10.384313942898659</v>
      </c>
      <c r="AF26" s="19">
        <f t="shared" si="12"/>
        <v>109.60713523758199</v>
      </c>
      <c r="AG26" s="19">
        <f t="shared" si="13"/>
        <v>11.723455501871371</v>
      </c>
      <c r="AH26" s="19">
        <f t="shared" si="14"/>
        <v>0.64179913900801111</v>
      </c>
      <c r="AI26" s="24">
        <f t="shared" si="15"/>
        <v>-2.7492352375819848</v>
      </c>
    </row>
    <row r="27" spans="1:35" ht="13.15" x14ac:dyDescent="0.4">
      <c r="A27">
        <v>24</v>
      </c>
      <c r="B27" t="s">
        <v>41</v>
      </c>
      <c r="C27">
        <v>15</v>
      </c>
      <c r="D27" s="15">
        <v>43336</v>
      </c>
      <c r="E27">
        <v>117.70036</v>
      </c>
      <c r="F27">
        <v>27.7943</v>
      </c>
      <c r="G27">
        <v>58.7622</v>
      </c>
      <c r="H27">
        <v>1.6896</v>
      </c>
      <c r="I27" s="5">
        <f t="shared" si="19"/>
        <v>205.94646000000003</v>
      </c>
      <c r="J27">
        <v>19.859850000000002</v>
      </c>
      <c r="K27">
        <v>163.53632999999999</v>
      </c>
      <c r="L27">
        <v>13.849550000000001</v>
      </c>
      <c r="M27">
        <v>5.7039999632000002E-2</v>
      </c>
      <c r="N27" s="2">
        <f t="shared" si="16"/>
        <v>197.24572999999998</v>
      </c>
      <c r="O27" s="2"/>
      <c r="P27" s="14">
        <v>0.96181412452763992</v>
      </c>
      <c r="Q27">
        <f t="shared" si="0"/>
        <v>0.57150950785946986</v>
      </c>
      <c r="R27">
        <f t="shared" si="1"/>
        <v>0.13495886260924317</v>
      </c>
      <c r="S27">
        <f t="shared" si="2"/>
        <v>0.28532755552098343</v>
      </c>
      <c r="T27">
        <f t="shared" si="3"/>
        <v>8.204074010303453E-3</v>
      </c>
      <c r="U27">
        <f t="shared" si="4"/>
        <v>0.10068582980224719</v>
      </c>
      <c r="V27">
        <f t="shared" si="5"/>
        <v>0.82909946897202802</v>
      </c>
      <c r="W27">
        <f t="shared" si="6"/>
        <v>7.0214701225724901E-2</v>
      </c>
      <c r="X27">
        <f t="shared" si="17"/>
        <v>2.8918243062600141E-4</v>
      </c>
      <c r="Y27" s="1">
        <f t="shared" si="18"/>
        <v>2.1771455512645255E-6</v>
      </c>
      <c r="Z27" s="1"/>
      <c r="AA27" s="17">
        <f t="shared" si="7"/>
        <v>115.13171549476661</v>
      </c>
      <c r="AB27" s="19">
        <f t="shared" si="8"/>
        <v>27.651061454539867</v>
      </c>
      <c r="AC27" s="17">
        <f t="shared" si="9"/>
        <v>58.121957478005967</v>
      </c>
      <c r="AD27" s="17">
        <f t="shared" si="10"/>
        <v>1.6890706825368949</v>
      </c>
      <c r="AE27" s="17">
        <f t="shared" si="11"/>
        <v>13.886683549702658</v>
      </c>
      <c r="AF27" s="19">
        <f t="shared" si="12"/>
        <v>168.71387206775594</v>
      </c>
      <c r="AG27" s="19">
        <f t="shared" si="13"/>
        <v>19.936206685738501</v>
      </c>
      <c r="AH27" s="19">
        <f t="shared" si="14"/>
        <v>5.7040629506707539E-2</v>
      </c>
      <c r="AI27" s="24">
        <f t="shared" si="15"/>
        <v>-5.1775420677559509</v>
      </c>
    </row>
    <row r="28" spans="1:35" ht="13.15" x14ac:dyDescent="0.4">
      <c r="A28">
        <v>25</v>
      </c>
      <c r="B28" t="s">
        <v>41</v>
      </c>
      <c r="C28">
        <v>15</v>
      </c>
      <c r="D28" s="15">
        <v>43336</v>
      </c>
      <c r="E28">
        <v>147.87548000000001</v>
      </c>
      <c r="F28">
        <v>27.943999999999999</v>
      </c>
      <c r="G28">
        <v>84.028300000000002</v>
      </c>
      <c r="H28">
        <v>1.792</v>
      </c>
      <c r="I28" s="5">
        <f t="shared" si="19"/>
        <v>261.63977999999997</v>
      </c>
      <c r="J28">
        <v>24.16986</v>
      </c>
      <c r="K28">
        <v>221.52705</v>
      </c>
      <c r="L28">
        <v>19.405760000000001</v>
      </c>
      <c r="M28">
        <v>5.7039999632000002E-2</v>
      </c>
      <c r="N28" s="2">
        <f t="shared" si="16"/>
        <v>265.10266999999999</v>
      </c>
      <c r="O28" s="2"/>
      <c r="P28" s="14">
        <v>1.0116438836121329</v>
      </c>
      <c r="Q28">
        <f t="shared" si="0"/>
        <v>0.56518729682466495</v>
      </c>
      <c r="R28">
        <f t="shared" si="1"/>
        <v>0.1068033309002171</v>
      </c>
      <c r="S28">
        <f t="shared" si="2"/>
        <v>0.3211602608747034</v>
      </c>
      <c r="T28">
        <f t="shared" si="3"/>
        <v>6.8491114004147237E-3</v>
      </c>
      <c r="U28">
        <f t="shared" si="4"/>
        <v>9.1171695856552479E-2</v>
      </c>
      <c r="V28">
        <f t="shared" si="5"/>
        <v>0.83562738164802342</v>
      </c>
      <c r="W28">
        <f t="shared" si="6"/>
        <v>7.3200922495424134E-2</v>
      </c>
      <c r="X28">
        <f t="shared" si="17"/>
        <v>2.151619205947643E-4</v>
      </c>
      <c r="Y28" s="1">
        <f t="shared" si="18"/>
        <v>3.0581881544852751E-6</v>
      </c>
      <c r="Z28" s="1"/>
      <c r="AA28" s="17">
        <f t="shared" si="7"/>
        <v>148.84864485226595</v>
      </c>
      <c r="AB28" s="19">
        <f t="shared" si="8"/>
        <v>27.97875131361188</v>
      </c>
      <c r="AC28" s="17">
        <f t="shared" si="9"/>
        <v>84.342528256012628</v>
      </c>
      <c r="AD28" s="17">
        <f t="shared" si="10"/>
        <v>1.7921429124587396</v>
      </c>
      <c r="AE28" s="17">
        <f t="shared" si="11"/>
        <v>19.389219635880547</v>
      </c>
      <c r="AF28" s="19">
        <f t="shared" si="12"/>
        <v>219.37160332844016</v>
      </c>
      <c r="AG28" s="19">
        <f t="shared" si="13"/>
        <v>24.14420145511178</v>
      </c>
      <c r="AH28" s="19">
        <f t="shared" si="14"/>
        <v>5.7039856728527523E-2</v>
      </c>
      <c r="AI28" s="24">
        <f t="shared" si="15"/>
        <v>2.1554466715598437</v>
      </c>
    </row>
    <row r="29" spans="1:35" ht="13.15" x14ac:dyDescent="0.4">
      <c r="A29">
        <v>26</v>
      </c>
      <c r="B29" t="s">
        <v>41</v>
      </c>
      <c r="C29">
        <v>50</v>
      </c>
      <c r="D29" s="15">
        <v>43336</v>
      </c>
      <c r="E29">
        <v>347.66608000000002</v>
      </c>
      <c r="F29">
        <v>24.650600000000001</v>
      </c>
      <c r="G29">
        <v>131.5977</v>
      </c>
      <c r="H29">
        <v>1.9456</v>
      </c>
      <c r="I29" s="5">
        <f t="shared" si="19"/>
        <v>505.85998000000006</v>
      </c>
      <c r="J29">
        <v>47.269260000000003</v>
      </c>
      <c r="K29">
        <v>438.92975999999999</v>
      </c>
      <c r="L29">
        <v>22.847660000000001</v>
      </c>
      <c r="M29">
        <v>2.8163499818300002</v>
      </c>
      <c r="N29" s="2">
        <f t="shared" si="16"/>
        <v>509.04668000000004</v>
      </c>
      <c r="O29" s="2"/>
      <c r="P29" s="14">
        <v>1.0091191997133417</v>
      </c>
      <c r="Q29">
        <f t="shared" si="0"/>
        <v>0.68727729756364597</v>
      </c>
      <c r="R29">
        <f t="shared" si="1"/>
        <v>4.8730085348914133E-2</v>
      </c>
      <c r="S29">
        <f t="shared" si="2"/>
        <v>0.26014649350201607</v>
      </c>
      <c r="T29">
        <f t="shared" si="3"/>
        <v>3.8461235854237762E-3</v>
      </c>
      <c r="U29">
        <f t="shared" si="4"/>
        <v>9.2858399547955009E-2</v>
      </c>
      <c r="V29">
        <f t="shared" si="5"/>
        <v>0.862258368918151</v>
      </c>
      <c r="W29">
        <f t="shared" si="6"/>
        <v>4.4883231533893904E-2</v>
      </c>
      <c r="X29">
        <f t="shared" si="17"/>
        <v>5.5325966998350717E-3</v>
      </c>
      <c r="Y29" s="1">
        <f t="shared" si="18"/>
        <v>6.6429070630924514E-6</v>
      </c>
      <c r="Z29" s="1"/>
      <c r="AA29" s="17">
        <f t="shared" si="7"/>
        <v>349.84504897282449</v>
      </c>
      <c r="AB29" s="19">
        <f t="shared" si="8"/>
        <v>24.661554218353135</v>
      </c>
      <c r="AC29" s="17">
        <f t="shared" si="9"/>
        <v>131.90989288593852</v>
      </c>
      <c r="AD29" s="17">
        <f t="shared" si="10"/>
        <v>1.9456682391360365</v>
      </c>
      <c r="AE29" s="17">
        <f t="shared" si="11"/>
        <v>22.838308472133669</v>
      </c>
      <c r="AF29" s="19">
        <f t="shared" si="12"/>
        <v>435.47840865176255</v>
      </c>
      <c r="AG29" s="19">
        <f t="shared" si="13"/>
        <v>47.229232660513993</v>
      </c>
      <c r="AH29" s="19">
        <f t="shared" si="14"/>
        <v>2.8162078889348803</v>
      </c>
      <c r="AI29" s="24">
        <f t="shared" si="15"/>
        <v>3.4513513482374378</v>
      </c>
    </row>
    <row r="30" spans="1:35" ht="13.15" x14ac:dyDescent="0.4">
      <c r="A30">
        <v>27</v>
      </c>
      <c r="B30" t="s">
        <v>41</v>
      </c>
      <c r="C30">
        <v>100</v>
      </c>
      <c r="D30" s="15">
        <v>43336</v>
      </c>
      <c r="E30">
        <v>193.92080000000001</v>
      </c>
      <c r="F30">
        <v>25.598700000000001</v>
      </c>
      <c r="G30">
        <v>70.119600000000005</v>
      </c>
      <c r="H30">
        <v>0.79359999999999997</v>
      </c>
      <c r="I30" s="5">
        <f t="shared" si="19"/>
        <v>290.43270000000007</v>
      </c>
      <c r="J30">
        <v>26.1981</v>
      </c>
      <c r="K30">
        <v>253.02200999999999</v>
      </c>
      <c r="L30">
        <v>24.71612</v>
      </c>
      <c r="M30">
        <v>6.4169999586000004E-2</v>
      </c>
      <c r="N30" s="2">
        <f t="shared" si="16"/>
        <v>303.93622999999997</v>
      </c>
      <c r="O30" s="2"/>
      <c r="P30" s="14">
        <v>1.0373177253705299</v>
      </c>
      <c r="Q30">
        <f t="shared" si="0"/>
        <v>0.66769616506681229</v>
      </c>
      <c r="R30">
        <f t="shared" si="1"/>
        <v>8.8139868547859782E-2</v>
      </c>
      <c r="S30">
        <f t="shared" si="2"/>
        <v>0.24143149170186412</v>
      </c>
      <c r="T30">
        <f t="shared" si="3"/>
        <v>2.7324746834636727E-3</v>
      </c>
      <c r="U30">
        <f t="shared" si="4"/>
        <v>8.6196041847330943E-2</v>
      </c>
      <c r="V30">
        <f t="shared" si="5"/>
        <v>0.83248387334408935</v>
      </c>
      <c r="W30">
        <f t="shared" si="6"/>
        <v>8.132008480857976E-2</v>
      </c>
      <c r="X30">
        <f t="shared" si="17"/>
        <v>2.1112981359938568E-4</v>
      </c>
      <c r="Y30" s="1">
        <f t="shared" si="18"/>
        <v>4.5616288524286119E-14</v>
      </c>
      <c r="Z30" s="1"/>
      <c r="AA30" s="17">
        <f t="shared" si="7"/>
        <v>198.75270559242253</v>
      </c>
      <c r="AB30" s="19">
        <f t="shared" si="8"/>
        <v>25.682898716928559</v>
      </c>
      <c r="AC30" s="17">
        <f t="shared" si="9"/>
        <v>70.751354744241667</v>
      </c>
      <c r="AD30" s="17">
        <f t="shared" si="10"/>
        <v>0.79368092318552075</v>
      </c>
      <c r="AE30" s="17">
        <f t="shared" si="11"/>
        <v>24.641114470326588</v>
      </c>
      <c r="AF30" s="19">
        <f t="shared" si="12"/>
        <v>245.16152587454062</v>
      </c>
      <c r="AG30" s="19">
        <f t="shared" si="13"/>
        <v>26.113830137913055</v>
      </c>
      <c r="AH30" s="19">
        <f t="shared" si="14"/>
        <v>6.4169493997991225E-2</v>
      </c>
      <c r="AI30" s="24">
        <f t="shared" si="15"/>
        <v>7.8604841254593794</v>
      </c>
    </row>
    <row r="31" spans="1:35" ht="13.15" x14ac:dyDescent="0.4">
      <c r="A31">
        <v>28</v>
      </c>
      <c r="B31" t="s">
        <v>33</v>
      </c>
      <c r="C31">
        <v>30</v>
      </c>
      <c r="D31" s="15">
        <v>42932</v>
      </c>
      <c r="E31">
        <v>4.8697600000000003</v>
      </c>
      <c r="F31">
        <v>16.966000000000001</v>
      </c>
      <c r="G31">
        <v>6.9954999999999998</v>
      </c>
      <c r="H31">
        <v>0.25600000000000001</v>
      </c>
      <c r="I31" s="5">
        <f t="shared" si="19"/>
        <v>29.087260000000001</v>
      </c>
      <c r="J31">
        <v>3.74661</v>
      </c>
      <c r="K31">
        <v>16.43487</v>
      </c>
      <c r="L31">
        <v>19.733560000000001</v>
      </c>
      <c r="M31">
        <v>2.1389999861999999E-2</v>
      </c>
      <c r="N31" s="2">
        <f t="shared" si="16"/>
        <v>39.915040000000005</v>
      </c>
      <c r="O31" s="2"/>
      <c r="P31" s="14">
        <v>1.3706504742080612</v>
      </c>
      <c r="Q31">
        <f t="shared" si="0"/>
        <v>0.16741900062089038</v>
      </c>
      <c r="R31">
        <f t="shared" si="1"/>
        <v>0.58327941511163306</v>
      </c>
      <c r="S31">
        <f t="shared" si="2"/>
        <v>0.24050048027899498</v>
      </c>
      <c r="T31">
        <f t="shared" si="3"/>
        <v>8.8011039884815546E-3</v>
      </c>
      <c r="U31">
        <f t="shared" si="4"/>
        <v>9.3864618449586906E-2</v>
      </c>
      <c r="V31">
        <f t="shared" si="5"/>
        <v>0.411746299139372</v>
      </c>
      <c r="W31">
        <f t="shared" si="6"/>
        <v>0.49438908241104101</v>
      </c>
      <c r="X31">
        <f t="shared" si="17"/>
        <v>5.358882231359406E-4</v>
      </c>
      <c r="Y31" s="1">
        <f t="shared" si="18"/>
        <v>-2.9577035265404561E-14</v>
      </c>
      <c r="Z31" s="1"/>
      <c r="AA31" s="17">
        <f t="shared" si="7"/>
        <v>5.1719477557578859</v>
      </c>
      <c r="AB31" s="19">
        <f t="shared" si="8"/>
        <v>20.633926905796329</v>
      </c>
      <c r="AC31" s="17">
        <f t="shared" si="9"/>
        <v>7.6190901821619494</v>
      </c>
      <c r="AD31" s="17">
        <f t="shared" si="10"/>
        <v>0.25683510614192262</v>
      </c>
      <c r="AE31" s="17">
        <f t="shared" si="11"/>
        <v>16.117472986987398</v>
      </c>
      <c r="AF31" s="19">
        <f t="shared" si="12"/>
        <v>13.926679390296375</v>
      </c>
      <c r="AG31" s="19">
        <f t="shared" si="13"/>
        <v>3.6162618213486333</v>
      </c>
      <c r="AH31" s="19">
        <f t="shared" si="14"/>
        <v>2.1385751225705452E-2</v>
      </c>
      <c r="AI31" s="24">
        <f t="shared" si="15"/>
        <v>2.5081906097036253</v>
      </c>
    </row>
    <row r="32" spans="1:35" ht="13.15" x14ac:dyDescent="0.4">
      <c r="A32">
        <v>29</v>
      </c>
      <c r="B32" t="s">
        <v>33</v>
      </c>
      <c r="C32">
        <v>120</v>
      </c>
      <c r="D32" s="15">
        <v>42932</v>
      </c>
      <c r="E32">
        <v>37.479759999999999</v>
      </c>
      <c r="F32">
        <v>27.0458</v>
      </c>
      <c r="G32">
        <v>31.685500000000001</v>
      </c>
      <c r="H32">
        <v>5.1200000000000002E-2</v>
      </c>
      <c r="I32" s="5">
        <f t="shared" si="19"/>
        <v>96.262259999999998</v>
      </c>
      <c r="J32">
        <v>5.5213200000000002</v>
      </c>
      <c r="K32">
        <v>78.237480000000005</v>
      </c>
      <c r="L32">
        <v>48.498010000000001</v>
      </c>
      <c r="M32">
        <v>2.8519999816000001E-2</v>
      </c>
      <c r="N32" s="2">
        <f t="shared" si="16"/>
        <v>132.25681</v>
      </c>
      <c r="O32" s="2"/>
      <c r="P32" s="14">
        <v>1.3716876958414921</v>
      </c>
      <c r="Q32">
        <f t="shared" si="0"/>
        <v>0.38935050974286289</v>
      </c>
      <c r="R32">
        <f t="shared" si="1"/>
        <v>0.28095953699819637</v>
      </c>
      <c r="S32">
        <f t="shared" si="2"/>
        <v>0.32915807295610972</v>
      </c>
      <c r="T32">
        <f t="shared" si="3"/>
        <v>5.3188030283103681E-4</v>
      </c>
      <c r="U32">
        <f t="shared" si="4"/>
        <v>4.1746961838864859E-2</v>
      </c>
      <c r="V32">
        <f t="shared" si="5"/>
        <v>0.59155728918609185</v>
      </c>
      <c r="W32">
        <f t="shared" si="6"/>
        <v>0.36669574897504331</v>
      </c>
      <c r="X32">
        <f t="shared" si="17"/>
        <v>2.1564106843345156E-4</v>
      </c>
      <c r="Y32" s="1">
        <f t="shared" si="18"/>
        <v>4.6213033400022141E-15</v>
      </c>
      <c r="Z32" s="1"/>
      <c r="AA32" s="17">
        <f t="shared" si="7"/>
        <v>42.903710701131473</v>
      </c>
      <c r="AB32" s="19">
        <f t="shared" si="8"/>
        <v>29.870171336646173</v>
      </c>
      <c r="AC32" s="17">
        <f t="shared" si="9"/>
        <v>35.562030992755702</v>
      </c>
      <c r="AD32" s="17">
        <f t="shared" si="10"/>
        <v>5.1210121900248207E-2</v>
      </c>
      <c r="AE32" s="17">
        <f t="shared" si="11"/>
        <v>41.887910776079949</v>
      </c>
      <c r="AF32" s="19">
        <f t="shared" si="12"/>
        <v>61.035048057605785</v>
      </c>
      <c r="AG32" s="19">
        <f t="shared" si="13"/>
        <v>5.4356466048421161</v>
      </c>
      <c r="AH32" s="19">
        <f t="shared" si="14"/>
        <v>2.8517713905734252E-2</v>
      </c>
      <c r="AI32" s="24">
        <f t="shared" si="15"/>
        <v>17.20243194239422</v>
      </c>
    </row>
    <row r="33" spans="1:35" ht="13.15" x14ac:dyDescent="0.4">
      <c r="A33">
        <v>30</v>
      </c>
      <c r="B33" t="s">
        <v>34</v>
      </c>
      <c r="C33">
        <v>30</v>
      </c>
      <c r="D33" s="15">
        <v>42932</v>
      </c>
      <c r="E33">
        <v>4.5219199999999997</v>
      </c>
      <c r="F33">
        <v>14.0219</v>
      </c>
      <c r="G33">
        <v>6.1725000000000003</v>
      </c>
      <c r="H33">
        <v>0.15359999999999999</v>
      </c>
      <c r="I33" s="5">
        <f t="shared" si="19"/>
        <v>24.86992</v>
      </c>
      <c r="J33">
        <v>1.6056900000000001</v>
      </c>
      <c r="K33">
        <v>13.060409999999999</v>
      </c>
      <c r="L33">
        <v>16.635850000000001</v>
      </c>
      <c r="M33">
        <v>1.03384999333</v>
      </c>
      <c r="N33" s="2">
        <f t="shared" si="16"/>
        <v>31.301950000000001</v>
      </c>
      <c r="O33" s="2"/>
      <c r="P33" s="14">
        <v>1.3026549204001632</v>
      </c>
      <c r="Q33">
        <f t="shared" si="0"/>
        <v>0.18182286070884021</v>
      </c>
      <c r="R33">
        <f t="shared" si="1"/>
        <v>0.56380961418452491</v>
      </c>
      <c r="S33">
        <f t="shared" si="2"/>
        <v>0.24819138943752131</v>
      </c>
      <c r="T33">
        <f t="shared" si="3"/>
        <v>6.1761356691135312E-3</v>
      </c>
      <c r="U33">
        <f t="shared" si="4"/>
        <v>5.1296804192710037E-2</v>
      </c>
      <c r="V33">
        <f t="shared" si="5"/>
        <v>0.4172395010534487</v>
      </c>
      <c r="W33">
        <f t="shared" si="6"/>
        <v>0.53146369475384125</v>
      </c>
      <c r="X33">
        <f t="shared" si="17"/>
        <v>3.3028293551360222E-2</v>
      </c>
      <c r="Y33" s="1">
        <f t="shared" si="18"/>
        <v>3.2133842453596628E-7</v>
      </c>
      <c r="Z33" s="1"/>
      <c r="AA33" s="17">
        <f t="shared" si="7"/>
        <v>4.770759373925328</v>
      </c>
      <c r="AB33" s="19">
        <f t="shared" si="8"/>
        <v>16.414593565236547</v>
      </c>
      <c r="AC33" s="17">
        <f t="shared" si="9"/>
        <v>6.6361556408347671</v>
      </c>
      <c r="AD33" s="17">
        <f t="shared" si="10"/>
        <v>0.15388711493365495</v>
      </c>
      <c r="AE33" s="17">
        <f t="shared" si="11"/>
        <v>13.959971826795421</v>
      </c>
      <c r="AF33" s="19">
        <f t="shared" si="12"/>
        <v>11.411146806361421</v>
      </c>
      <c r="AG33" s="19">
        <f t="shared" si="13"/>
        <v>1.5807612931366566</v>
      </c>
      <c r="AH33" s="19">
        <f t="shared" si="14"/>
        <v>1.0235154472983725</v>
      </c>
      <c r="AI33" s="24">
        <f t="shared" si="15"/>
        <v>1.6492631936385784</v>
      </c>
    </row>
    <row r="34" spans="1:35" ht="13.15" x14ac:dyDescent="0.4">
      <c r="A34">
        <v>31</v>
      </c>
      <c r="B34" t="s">
        <v>34</v>
      </c>
      <c r="C34">
        <v>120</v>
      </c>
      <c r="D34" s="15">
        <v>42932</v>
      </c>
      <c r="E34">
        <v>12.00048</v>
      </c>
      <c r="F34">
        <v>24.0518</v>
      </c>
      <c r="G34">
        <v>14.4025</v>
      </c>
      <c r="H34">
        <v>5.1200000000000002E-2</v>
      </c>
      <c r="I34" s="5">
        <f t="shared" si="19"/>
        <v>50.505980000000001</v>
      </c>
      <c r="J34">
        <v>3.4649100000000002</v>
      </c>
      <c r="K34">
        <v>35.556809999999999</v>
      </c>
      <c r="L34">
        <v>31.698260000000001</v>
      </c>
      <c r="M34">
        <v>7.8429999493999994E-2</v>
      </c>
      <c r="N34" s="2">
        <f t="shared" si="16"/>
        <v>70.719980000000007</v>
      </c>
      <c r="O34" s="2"/>
      <c r="P34" s="14">
        <v>1.4005022746427058</v>
      </c>
      <c r="Q34">
        <f t="shared" si="0"/>
        <v>0.23760513111516696</v>
      </c>
      <c r="R34">
        <f t="shared" si="1"/>
        <v>0.47621687570461951</v>
      </c>
      <c r="S34">
        <f t="shared" si="2"/>
        <v>0.28516425183710919</v>
      </c>
      <c r="T34">
        <f t="shared" si="3"/>
        <v>1.0137413431043215E-3</v>
      </c>
      <c r="U34">
        <f t="shared" si="4"/>
        <v>4.8994781955537879E-2</v>
      </c>
      <c r="V34">
        <f t="shared" si="5"/>
        <v>0.50278308902236679</v>
      </c>
      <c r="W34">
        <f t="shared" si="6"/>
        <v>0.44822212902209529</v>
      </c>
      <c r="X34">
        <f t="shared" si="17"/>
        <v>1.109021799695079E-3</v>
      </c>
      <c r="Y34" s="1">
        <f t="shared" si="18"/>
        <v>-6.8001160258290838E-16</v>
      </c>
      <c r="Z34" s="1"/>
      <c r="AA34" s="17">
        <f t="shared" si="7"/>
        <v>13.142462423210661</v>
      </c>
      <c r="AB34" s="19">
        <f t="shared" si="8"/>
        <v>28.639102210423271</v>
      </c>
      <c r="AC34" s="17">
        <f t="shared" si="9"/>
        <v>16.047394136037454</v>
      </c>
      <c r="AD34" s="17">
        <f t="shared" si="10"/>
        <v>5.1220787492547208E-2</v>
      </c>
      <c r="AE34" s="17">
        <f t="shared" si="11"/>
        <v>26.007979118001167</v>
      </c>
      <c r="AF34" s="19">
        <f t="shared" si="12"/>
        <v>28.396885546970836</v>
      </c>
      <c r="AG34" s="19">
        <f t="shared" si="13"/>
        <v>3.3969197286177475</v>
      </c>
      <c r="AH34" s="19">
        <f t="shared" si="14"/>
        <v>7.8395163574185092E-2</v>
      </c>
      <c r="AI34" s="24">
        <f t="shared" si="15"/>
        <v>7.1599244530291628</v>
      </c>
    </row>
    <row r="35" spans="1:35" ht="13.15" x14ac:dyDescent="0.4">
      <c r="A35">
        <v>32</v>
      </c>
      <c r="B35" t="s">
        <v>35</v>
      </c>
      <c r="C35">
        <v>30</v>
      </c>
      <c r="D35" s="15">
        <v>42932</v>
      </c>
      <c r="E35">
        <v>11.870039999999999</v>
      </c>
      <c r="F35">
        <v>30.7883</v>
      </c>
      <c r="G35">
        <v>15.3901</v>
      </c>
      <c r="H35">
        <v>0.25600000000000001</v>
      </c>
      <c r="I35" s="5">
        <f t="shared" si="19"/>
        <v>58.30444</v>
      </c>
      <c r="J35">
        <v>5.49315</v>
      </c>
      <c r="K35">
        <v>43.493040000000001</v>
      </c>
      <c r="L35">
        <v>38.057580000000002</v>
      </c>
      <c r="M35">
        <v>1.2976599916280001</v>
      </c>
      <c r="N35" s="2">
        <f t="shared" si="16"/>
        <v>87.043769999999995</v>
      </c>
      <c r="O35" s="2"/>
      <c r="P35" s="14">
        <v>1.4885971655085848</v>
      </c>
      <c r="Q35">
        <f t="shared" si="0"/>
        <v>0.20358723966819678</v>
      </c>
      <c r="R35">
        <f t="shared" si="1"/>
        <v>0.52806098472088914</v>
      </c>
      <c r="S35">
        <f t="shared" si="2"/>
        <v>0.26396102938301097</v>
      </c>
      <c r="T35">
        <f t="shared" si="3"/>
        <v>4.390746227903055E-3</v>
      </c>
      <c r="U35">
        <f t="shared" si="4"/>
        <v>6.3107905367609879E-2</v>
      </c>
      <c r="V35">
        <f t="shared" si="5"/>
        <v>0.49966861499679993</v>
      </c>
      <c r="W35">
        <f t="shared" si="6"/>
        <v>0.43722347963559027</v>
      </c>
      <c r="X35">
        <f t="shared" si="17"/>
        <v>1.4908131755184777E-2</v>
      </c>
      <c r="Y35" s="1">
        <f t="shared" si="18"/>
        <v>2.4868995751603507E-14</v>
      </c>
      <c r="Z35" s="1"/>
      <c r="AA35" s="17">
        <f t="shared" si="7"/>
        <v>13.050778378442475</v>
      </c>
      <c r="AB35" s="19">
        <f t="shared" si="8"/>
        <v>38.731961584315094</v>
      </c>
      <c r="AC35" s="17">
        <f t="shared" si="9"/>
        <v>17.374970596676981</v>
      </c>
      <c r="AD35" s="17">
        <f t="shared" si="10"/>
        <v>0.25654919837732376</v>
      </c>
      <c r="AE35" s="17">
        <f t="shared" si="11"/>
        <v>29.927485598056762</v>
      </c>
      <c r="AF35" s="19">
        <f t="shared" si="12"/>
        <v>32.874794090541009</v>
      </c>
      <c r="AG35" s="19">
        <f t="shared" si="13"/>
        <v>5.3237723249933442</v>
      </c>
      <c r="AH35" s="19">
        <f t="shared" si="14"/>
        <v>1.2882077442207365</v>
      </c>
      <c r="AI35" s="24">
        <f t="shared" si="15"/>
        <v>10.618245909458992</v>
      </c>
    </row>
    <row r="36" spans="1:35" ht="13.15" x14ac:dyDescent="0.4">
      <c r="A36">
        <v>33</v>
      </c>
      <c r="B36" t="s">
        <v>35</v>
      </c>
      <c r="C36">
        <v>60</v>
      </c>
      <c r="D36" s="15">
        <v>42932</v>
      </c>
      <c r="E36">
        <v>58.393639999999998</v>
      </c>
      <c r="F36">
        <v>27.145600000000002</v>
      </c>
      <c r="G36">
        <v>44.853499999999997</v>
      </c>
      <c r="H36">
        <v>0.28160000000000002</v>
      </c>
      <c r="I36" s="5">
        <f t="shared" si="19"/>
        <v>130.67434</v>
      </c>
      <c r="J36">
        <v>11.60604</v>
      </c>
      <c r="K36">
        <v>105.79557</v>
      </c>
      <c r="L36">
        <v>59.512090000000001</v>
      </c>
      <c r="M36">
        <v>1.062369993146</v>
      </c>
      <c r="N36" s="2">
        <f t="shared" si="16"/>
        <v>176.91370000000001</v>
      </c>
      <c r="O36" s="2"/>
      <c r="P36" s="14">
        <v>1.3605781232424814</v>
      </c>
      <c r="Q36">
        <f t="shared" ref="Q36:Q58" si="20">E36/I36</f>
        <v>0.44686386018861851</v>
      </c>
      <c r="R36">
        <f t="shared" ref="R36:R58" si="21">F36/I36</f>
        <v>0.20773473965891087</v>
      </c>
      <c r="S36">
        <f t="shared" ref="S36:S58" si="22">G36/I36</f>
        <v>0.34324642466149052</v>
      </c>
      <c r="T36">
        <f t="shared" ref="T36:T58" si="23">H36/I36</f>
        <v>2.1549754909800959E-3</v>
      </c>
      <c r="U36">
        <f t="shared" ref="U36:U58" si="24">J36/N36</f>
        <v>6.5602833471913147E-2</v>
      </c>
      <c r="V36">
        <f t="shared" ref="V36:V58" si="25">K36/N36</f>
        <v>0.59800665522229202</v>
      </c>
      <c r="W36">
        <f t="shared" ref="W36:W58" si="26">L36/N36</f>
        <v>0.33639051130579484</v>
      </c>
      <c r="X36">
        <f t="shared" si="17"/>
        <v>6.0050182272260427E-3</v>
      </c>
      <c r="Y36" s="1">
        <f t="shared" si="18"/>
        <v>-6.5281113847959205E-14</v>
      </c>
      <c r="Z36" s="1"/>
      <c r="AA36" s="17">
        <f t="shared" ref="AA36:AA58" si="27">E36*(1-(1-P36)*Q36)</f>
        <v>67.802568209267591</v>
      </c>
      <c r="AB36" s="19">
        <f t="shared" ref="AB36:AB58" si="28">F36*(1-(1-P36)*R36)</f>
        <v>29.178930379211359</v>
      </c>
      <c r="AC36" s="17">
        <f t="shared" ref="AC36:AC58" si="29">G36*(1-(1-P36)*S36)</f>
        <v>50.404889934924469</v>
      </c>
      <c r="AD36" s="17">
        <f t="shared" ref="AD36:AD58" si="30">H36*(1-(1-P36)*T36)</f>
        <v>0.28181881362431704</v>
      </c>
      <c r="AE36" s="17">
        <f t="shared" ref="AE36:AE58" si="31">L36*(1+(1-P36)*W36)</f>
        <v>52.293567517762028</v>
      </c>
      <c r="AF36" s="19">
        <f t="shared" ref="AF36:AF58" si="32">K36*(1+(1-P36)*V36)</f>
        <v>82.983070408829334</v>
      </c>
      <c r="AG36" s="19">
        <f t="shared" ref="AG36:AG58" si="33">J36*(1+(1-P36)*U36)</f>
        <v>11.33149974387948</v>
      </c>
      <c r="AH36" s="19">
        <f t="shared" ref="AH36:AH58" si="34">M36*(1+(1-P36)*X36)</f>
        <v>1.0600696665569465</v>
      </c>
      <c r="AI36" s="24">
        <f t="shared" ref="AI36:AI57" si="35">K36-AF36</f>
        <v>22.812499591170663</v>
      </c>
    </row>
    <row r="37" spans="1:35" ht="13.15" x14ac:dyDescent="0.4">
      <c r="A37">
        <v>34</v>
      </c>
      <c r="B37" t="s">
        <v>35</v>
      </c>
      <c r="C37">
        <v>120</v>
      </c>
      <c r="D37" s="15">
        <v>42932</v>
      </c>
      <c r="E37">
        <v>77.524839999999998</v>
      </c>
      <c r="F37">
        <v>24.4011</v>
      </c>
      <c r="G37">
        <v>45.758800000000001</v>
      </c>
      <c r="H37">
        <v>0.56320000000000003</v>
      </c>
      <c r="I37" s="5">
        <f t="shared" si="19"/>
        <v>148.24794</v>
      </c>
      <c r="J37">
        <v>11.46519</v>
      </c>
      <c r="K37">
        <v>122.16795</v>
      </c>
      <c r="L37">
        <v>58.00421</v>
      </c>
      <c r="M37">
        <v>0</v>
      </c>
      <c r="N37" s="2">
        <f t="shared" si="16"/>
        <v>191.63735</v>
      </c>
      <c r="O37" s="2"/>
      <c r="P37" s="14">
        <v>1.2802798993540463</v>
      </c>
      <c r="Q37">
        <f t="shared" si="20"/>
        <v>0.52294041994782525</v>
      </c>
      <c r="R37">
        <f t="shared" si="21"/>
        <v>0.16459655358448824</v>
      </c>
      <c r="S37">
        <f t="shared" si="22"/>
        <v>0.3086639854826988</v>
      </c>
      <c r="T37">
        <f t="shared" si="23"/>
        <v>3.7990409849877173E-3</v>
      </c>
      <c r="U37">
        <f t="shared" si="24"/>
        <v>5.9827533620142419E-2</v>
      </c>
      <c r="V37">
        <f t="shared" si="25"/>
        <v>0.63749550909569563</v>
      </c>
      <c r="W37">
        <f t="shared" si="26"/>
        <v>0.302676957284162</v>
      </c>
      <c r="X37">
        <f t="shared" si="17"/>
        <v>0</v>
      </c>
      <c r="Y37" s="1">
        <f t="shared" si="18"/>
        <v>1.9819684258237658E-6</v>
      </c>
      <c r="Z37" s="1"/>
      <c r="AA37" s="17">
        <f t="shared" si="27"/>
        <v>88.88763163206994</v>
      </c>
      <c r="AB37" s="19">
        <f t="shared" si="28"/>
        <v>25.526798519949491</v>
      </c>
      <c r="AC37" s="17">
        <f t="shared" si="29"/>
        <v>49.717499526762829</v>
      </c>
      <c r="AD37" s="17">
        <f t="shared" si="30"/>
        <v>0.56379969244539174</v>
      </c>
      <c r="AE37" s="17">
        <f t="shared" si="31"/>
        <v>53.083465354520563</v>
      </c>
      <c r="AF37" s="19">
        <f t="shared" si="32"/>
        <v>100.3393255584856</v>
      </c>
      <c r="AG37" s="19">
        <f t="shared" si="33"/>
        <v>11.272936476253063</v>
      </c>
      <c r="AH37" s="19">
        <f t="shared" si="34"/>
        <v>0</v>
      </c>
      <c r="AI37" s="24">
        <f t="shared" si="35"/>
        <v>21.828624441514407</v>
      </c>
    </row>
    <row r="38" spans="1:35" ht="13.15" x14ac:dyDescent="0.4">
      <c r="A38">
        <v>35</v>
      </c>
      <c r="B38" t="s">
        <v>36</v>
      </c>
      <c r="C38">
        <v>15</v>
      </c>
      <c r="D38" s="15">
        <v>43669</v>
      </c>
      <c r="E38">
        <v>53.697800000000001</v>
      </c>
      <c r="F38">
        <v>20.6586</v>
      </c>
      <c r="G38">
        <v>27.570499999999999</v>
      </c>
      <c r="H38">
        <v>1.28</v>
      </c>
      <c r="I38" s="5">
        <f t="shared" si="19"/>
        <v>103.2069</v>
      </c>
      <c r="J38">
        <v>5.0424300000000004</v>
      </c>
      <c r="K38">
        <v>26.30829</v>
      </c>
      <c r="L38">
        <v>5.9004000000000001E-2</v>
      </c>
      <c r="M38">
        <v>97.752299369339994</v>
      </c>
      <c r="N38" s="2">
        <f t="shared" si="16"/>
        <v>31.409724000000001</v>
      </c>
      <c r="O38" s="2"/>
      <c r="P38" s="14">
        <v>1.0708147894276507</v>
      </c>
      <c r="Q38">
        <f t="shared" si="20"/>
        <v>0.52029273236576234</v>
      </c>
      <c r="R38">
        <f t="shared" si="21"/>
        <v>0.20016684930949383</v>
      </c>
      <c r="S38">
        <f t="shared" si="22"/>
        <v>0.26713814677119452</v>
      </c>
      <c r="T38">
        <f t="shared" si="23"/>
        <v>1.240227155354923E-2</v>
      </c>
      <c r="U38">
        <f t="shared" si="24"/>
        <v>0.16053722726121378</v>
      </c>
      <c r="V38">
        <f t="shared" si="25"/>
        <v>0.83758424620350047</v>
      </c>
      <c r="W38">
        <f t="shared" si="26"/>
        <v>1.8785265352856968E-3</v>
      </c>
      <c r="X38">
        <f t="shared" si="17"/>
        <v>3.1121667726001028</v>
      </c>
      <c r="Y38" s="1">
        <f t="shared" si="18"/>
        <v>0</v>
      </c>
      <c r="Z38" s="1"/>
      <c r="AA38" s="17">
        <f t="shared" si="27"/>
        <v>55.676264311484211</v>
      </c>
      <c r="AB38" s="19">
        <f t="shared" si="28"/>
        <v>20.951430971369966</v>
      </c>
      <c r="AC38" s="17">
        <f t="shared" si="29"/>
        <v>28.092060291200237</v>
      </c>
      <c r="AD38" s="17">
        <f t="shared" si="30"/>
        <v>1.281124178238066</v>
      </c>
      <c r="AE38" s="17">
        <f t="shared" si="31"/>
        <v>5.899615084768936E-2</v>
      </c>
      <c r="AF38" s="19">
        <f t="shared" si="32"/>
        <v>24.747857134111605</v>
      </c>
      <c r="AG38" s="19">
        <f t="shared" si="33"/>
        <v>4.9851055886470759</v>
      </c>
      <c r="AH38" s="19">
        <f t="shared" si="34"/>
        <v>76.2089208786862</v>
      </c>
      <c r="AI38" s="24">
        <f t="shared" si="35"/>
        <v>1.5604328658883944</v>
      </c>
    </row>
    <row r="39" spans="1:35" ht="13.15" x14ac:dyDescent="0.4">
      <c r="A39">
        <v>36</v>
      </c>
      <c r="B39" t="s">
        <v>36</v>
      </c>
      <c r="C39">
        <v>100</v>
      </c>
      <c r="D39" s="15">
        <v>43669</v>
      </c>
      <c r="E39">
        <v>118.61344</v>
      </c>
      <c r="F39">
        <v>21.352209999999999</v>
      </c>
      <c r="G39">
        <v>53.906500000000001</v>
      </c>
      <c r="H39">
        <v>0.64</v>
      </c>
      <c r="I39" s="5">
        <f t="shared" si="19"/>
        <v>194.51214999999996</v>
      </c>
      <c r="J39">
        <v>22.338809999999999</v>
      </c>
      <c r="K39">
        <v>37.868940000000002</v>
      </c>
      <c r="L39">
        <v>5.0809E-2</v>
      </c>
      <c r="M39">
        <v>184.73829880814</v>
      </c>
      <c r="N39" s="2">
        <f t="shared" si="16"/>
        <v>60.258559000000005</v>
      </c>
      <c r="O39" s="2"/>
      <c r="P39" s="14">
        <v>1.0733726382210467</v>
      </c>
      <c r="Q39">
        <f t="shared" si="20"/>
        <v>0.60979964490650085</v>
      </c>
      <c r="R39">
        <f t="shared" si="21"/>
        <v>0.1097731427059955</v>
      </c>
      <c r="S39">
        <f t="shared" si="22"/>
        <v>0.27713692949257929</v>
      </c>
      <c r="T39">
        <f t="shared" si="23"/>
        <v>3.2902828949245592E-3</v>
      </c>
      <c r="U39">
        <f t="shared" si="24"/>
        <v>0.37071596750264135</v>
      </c>
      <c r="V39">
        <f t="shared" si="25"/>
        <v>0.62844084937377942</v>
      </c>
      <c r="W39">
        <f t="shared" si="26"/>
        <v>8.4318312357917484E-4</v>
      </c>
      <c r="X39">
        <f t="shared" si="17"/>
        <v>3.0657603147818384</v>
      </c>
      <c r="Y39" s="1">
        <f t="shared" si="18"/>
        <v>0</v>
      </c>
      <c r="Z39" s="1"/>
      <c r="AA39" s="17">
        <f t="shared" si="27"/>
        <v>123.92051473640079</v>
      </c>
      <c r="AB39" s="19">
        <f t="shared" si="28"/>
        <v>21.524188067692034</v>
      </c>
      <c r="AC39" s="17">
        <f t="shared" si="29"/>
        <v>55.002649199902237</v>
      </c>
      <c r="AD39" s="17">
        <f t="shared" si="30"/>
        <v>0.64015450671135621</v>
      </c>
      <c r="AE39" s="17">
        <f t="shared" si="31"/>
        <v>5.0805856621430619E-2</v>
      </c>
      <c r="AF39" s="19">
        <f t="shared" si="32"/>
        <v>36.122789426977519</v>
      </c>
      <c r="AG39" s="19">
        <f t="shared" si="33"/>
        <v>21.731185241114233</v>
      </c>
      <c r="AH39" s="19">
        <f t="shared" si="34"/>
        <v>143.1827259859933</v>
      </c>
      <c r="AI39" s="24">
        <f t="shared" si="35"/>
        <v>1.7461505730224829</v>
      </c>
    </row>
    <row r="40" spans="1:35" ht="13.15" x14ac:dyDescent="0.4">
      <c r="A40">
        <v>37</v>
      </c>
      <c r="B40" t="s">
        <v>42</v>
      </c>
      <c r="C40">
        <v>50</v>
      </c>
      <c r="D40" s="15">
        <v>43669</v>
      </c>
      <c r="E40">
        <v>390.40692000000001</v>
      </c>
      <c r="F40">
        <v>31.59169</v>
      </c>
      <c r="G40">
        <v>157.35759999999999</v>
      </c>
      <c r="H40">
        <v>2.944</v>
      </c>
      <c r="I40" s="5">
        <f t="shared" si="19"/>
        <v>582.30020999999988</v>
      </c>
      <c r="J40">
        <v>56.001959999999997</v>
      </c>
      <c r="K40">
        <v>491.54633999999999</v>
      </c>
      <c r="L40">
        <v>23.077120000000001</v>
      </c>
      <c r="M40">
        <v>3.1443299797140001</v>
      </c>
      <c r="N40" s="2">
        <f t="shared" si="16"/>
        <v>570.62541999999996</v>
      </c>
      <c r="O40" s="2"/>
      <c r="P40" s="14">
        <v>0.98840775983188855</v>
      </c>
      <c r="Q40">
        <f t="shared" si="20"/>
        <v>0.67045643002601718</v>
      </c>
      <c r="R40">
        <f t="shared" si="21"/>
        <v>5.4253269116973195E-2</v>
      </c>
      <c r="S40">
        <f t="shared" si="22"/>
        <v>0.27023448952560059</v>
      </c>
      <c r="T40">
        <f t="shared" si="23"/>
        <v>5.0558113314092754E-3</v>
      </c>
      <c r="U40">
        <f t="shared" si="24"/>
        <v>9.8141369166484027E-2</v>
      </c>
      <c r="V40">
        <f t="shared" si="25"/>
        <v>0.86141682927479823</v>
      </c>
      <c r="W40">
        <f t="shared" si="26"/>
        <v>4.0441801558717808E-2</v>
      </c>
      <c r="X40">
        <f t="shared" si="17"/>
        <v>5.5103223051542289E-3</v>
      </c>
      <c r="Y40" s="1">
        <f t="shared" si="18"/>
        <v>7.273456596124106E-6</v>
      </c>
      <c r="Z40" s="1"/>
      <c r="AA40" s="17">
        <f t="shared" si="27"/>
        <v>387.37264151628466</v>
      </c>
      <c r="AB40" s="19">
        <f t="shared" si="28"/>
        <v>31.571821451453562</v>
      </c>
      <c r="AC40" s="17">
        <f t="shared" si="29"/>
        <v>156.86465794660472</v>
      </c>
      <c r="AD40" s="17">
        <f t="shared" si="30"/>
        <v>2.9438274575204399</v>
      </c>
      <c r="AE40" s="17">
        <f t="shared" si="31"/>
        <v>23.087938809469712</v>
      </c>
      <c r="AF40" s="19">
        <f t="shared" si="32"/>
        <v>496.45479924305056</v>
      </c>
      <c r="AG40" s="19">
        <f t="shared" si="33"/>
        <v>56.065672215870592</v>
      </c>
      <c r="AH40" s="19">
        <f t="shared" si="34"/>
        <v>3.1445308300158601</v>
      </c>
      <c r="AI40" s="24">
        <f t="shared" si="35"/>
        <v>-4.9084592430505722</v>
      </c>
    </row>
    <row r="41" spans="1:35" ht="13.15" x14ac:dyDescent="0.4">
      <c r="A41">
        <v>38</v>
      </c>
      <c r="B41" t="s">
        <v>42</v>
      </c>
      <c r="C41">
        <v>100</v>
      </c>
      <c r="D41" s="15">
        <v>43669</v>
      </c>
      <c r="E41">
        <v>196.09479999999999</v>
      </c>
      <c r="F41">
        <v>30.259360000000001</v>
      </c>
      <c r="G41">
        <v>92.422899999999998</v>
      </c>
      <c r="H41">
        <v>1.1008</v>
      </c>
      <c r="I41" s="5">
        <f t="shared" si="19"/>
        <v>319.87786</v>
      </c>
      <c r="J41">
        <v>27.12771</v>
      </c>
      <c r="K41">
        <v>269.14443</v>
      </c>
      <c r="L41">
        <v>0.11473</v>
      </c>
      <c r="M41">
        <v>0.71299999540000003</v>
      </c>
      <c r="N41" s="2">
        <f t="shared" si="16"/>
        <v>296.38686999999999</v>
      </c>
      <c r="O41" s="2"/>
      <c r="P41" s="14">
        <v>0.94257739378067973</v>
      </c>
      <c r="Q41">
        <f t="shared" si="20"/>
        <v>0.61303023597819495</v>
      </c>
      <c r="R41">
        <f t="shared" si="21"/>
        <v>9.459660634218324E-2</v>
      </c>
      <c r="S41">
        <f t="shared" si="22"/>
        <v>0.28893184417327289</v>
      </c>
      <c r="T41">
        <f t="shared" si="23"/>
        <v>3.4413135063489546E-3</v>
      </c>
      <c r="U41">
        <f t="shared" si="24"/>
        <v>9.1528042385953204E-2</v>
      </c>
      <c r="V41">
        <f t="shared" si="25"/>
        <v>0.90808486219379425</v>
      </c>
      <c r="W41">
        <f t="shared" si="26"/>
        <v>3.8709542025259082E-4</v>
      </c>
      <c r="X41">
        <f t="shared" si="17"/>
        <v>2.4056396135226912E-3</v>
      </c>
      <c r="Y41" s="1">
        <f t="shared" si="18"/>
        <v>-3.7081449022480228E-14</v>
      </c>
      <c r="Z41" s="1"/>
      <c r="AA41" s="17">
        <f t="shared" si="27"/>
        <v>189.19191127708572</v>
      </c>
      <c r="AB41" s="19">
        <f t="shared" si="28"/>
        <v>30.094991650443742</v>
      </c>
      <c r="AC41" s="17">
        <f t="shared" si="29"/>
        <v>90.889491378147383</v>
      </c>
      <c r="AD41" s="17">
        <f t="shared" si="30"/>
        <v>1.1005824718032602</v>
      </c>
      <c r="AE41" s="17">
        <f t="shared" si="31"/>
        <v>0.11473255022163942</v>
      </c>
      <c r="AF41" s="19">
        <f t="shared" si="32"/>
        <v>283.17885849802343</v>
      </c>
      <c r="AG41" s="19">
        <f t="shared" si="33"/>
        <v>27.270287241373126</v>
      </c>
      <c r="AH41" s="19">
        <f t="shared" si="34"/>
        <v>0.7130984878619786</v>
      </c>
      <c r="AI41" s="24">
        <f t="shared" si="35"/>
        <v>-14.034428498023431</v>
      </c>
    </row>
    <row r="42" spans="1:35" ht="13.15" x14ac:dyDescent="0.4">
      <c r="A42">
        <v>39</v>
      </c>
      <c r="B42" t="s">
        <v>34</v>
      </c>
      <c r="C42">
        <v>15</v>
      </c>
      <c r="D42" s="15">
        <v>43669</v>
      </c>
      <c r="E42">
        <v>7.2611600000000003</v>
      </c>
      <c r="F42">
        <v>11.97101</v>
      </c>
      <c r="G42">
        <v>6.5016999999999996</v>
      </c>
      <c r="H42">
        <v>1.1519999999999999</v>
      </c>
      <c r="I42" s="5">
        <f t="shared" si="19"/>
        <v>26.885870000000001</v>
      </c>
      <c r="J42">
        <v>1.80288</v>
      </c>
      <c r="K42">
        <v>52.991520000000001</v>
      </c>
      <c r="L42">
        <v>0</v>
      </c>
      <c r="M42">
        <v>13.83219991076</v>
      </c>
      <c r="N42" s="2">
        <f t="shared" si="16"/>
        <v>54.794400000000003</v>
      </c>
      <c r="O42" s="2"/>
      <c r="P42" s="14">
        <v>1.6551484270664949</v>
      </c>
      <c r="Q42">
        <f t="shared" si="20"/>
        <v>0.2700734623800532</v>
      </c>
      <c r="R42">
        <f t="shared" si="21"/>
        <v>0.44525284099045331</v>
      </c>
      <c r="S42">
        <f t="shared" si="22"/>
        <v>0.24182591078510754</v>
      </c>
      <c r="T42">
        <f t="shared" si="23"/>
        <v>4.2847785844385915E-2</v>
      </c>
      <c r="U42">
        <f t="shared" si="24"/>
        <v>3.2902632385791247E-2</v>
      </c>
      <c r="V42">
        <f t="shared" si="25"/>
        <v>0.96709736761420872</v>
      </c>
      <c r="W42">
        <f t="shared" si="26"/>
        <v>0</v>
      </c>
      <c r="X42">
        <f t="shared" si="17"/>
        <v>0.2524382037354182</v>
      </c>
      <c r="Y42" s="1">
        <f t="shared" si="18"/>
        <v>4.7961634663806763E-14</v>
      </c>
      <c r="Z42" s="1"/>
      <c r="AA42" s="17">
        <f t="shared" si="27"/>
        <v>8.5459366098699601</v>
      </c>
      <c r="AB42" s="19">
        <f t="shared" si="28"/>
        <v>15.463033803874154</v>
      </c>
      <c r="AC42" s="17">
        <f t="shared" si="29"/>
        <v>7.5317764571567345</v>
      </c>
      <c r="AD42" s="17">
        <f t="shared" si="30"/>
        <v>1.1843385517431144</v>
      </c>
      <c r="AE42" s="17">
        <f t="shared" si="31"/>
        <v>0</v>
      </c>
      <c r="AF42" s="19">
        <f t="shared" si="32"/>
        <v>19.416499944599302</v>
      </c>
      <c r="AG42" s="19">
        <f t="shared" si="33"/>
        <v>1.764016924272364</v>
      </c>
      <c r="AH42" s="19">
        <f t="shared" si="34"/>
        <v>11.544568553772251</v>
      </c>
      <c r="AI42" s="24">
        <f t="shared" si="35"/>
        <v>33.575020055400699</v>
      </c>
    </row>
    <row r="43" spans="1:35" ht="13.15" x14ac:dyDescent="0.4">
      <c r="A43">
        <v>40</v>
      </c>
      <c r="B43" t="s">
        <v>43</v>
      </c>
      <c r="C43">
        <v>15</v>
      </c>
      <c r="D43" s="15">
        <v>43669</v>
      </c>
      <c r="E43">
        <v>9.2177600000000002</v>
      </c>
      <c r="F43">
        <v>14.06681</v>
      </c>
      <c r="G43">
        <v>8.0654000000000003</v>
      </c>
      <c r="H43">
        <v>0.92159999999999997</v>
      </c>
      <c r="I43" s="5">
        <f t="shared" si="19"/>
        <v>32.271570000000004</v>
      </c>
      <c r="J43">
        <v>2.9860199999999999</v>
      </c>
      <c r="K43">
        <v>49.929510000000001</v>
      </c>
      <c r="L43">
        <v>0</v>
      </c>
      <c r="M43">
        <v>17.753699885460001</v>
      </c>
      <c r="N43" s="2">
        <f t="shared" si="16"/>
        <v>52.915530000000004</v>
      </c>
      <c r="O43" s="2"/>
      <c r="P43" s="14">
        <v>1.5995556900840389</v>
      </c>
      <c r="Q43">
        <f t="shared" si="20"/>
        <v>0.28563097487974709</v>
      </c>
      <c r="R43">
        <f t="shared" si="21"/>
        <v>0.43588861651292449</v>
      </c>
      <c r="S43">
        <f t="shared" si="22"/>
        <v>0.24992276483604609</v>
      </c>
      <c r="T43">
        <f t="shared" si="23"/>
        <v>2.8557643771282271E-2</v>
      </c>
      <c r="U43">
        <f t="shared" si="24"/>
        <v>5.6429936542258946E-2</v>
      </c>
      <c r="V43">
        <f t="shared" si="25"/>
        <v>0.94357006345774097</v>
      </c>
      <c r="W43">
        <f t="shared" si="26"/>
        <v>0</v>
      </c>
      <c r="X43">
        <f t="shared" si="17"/>
        <v>0.33551019682614913</v>
      </c>
      <c r="Y43" s="1">
        <f t="shared" si="18"/>
        <v>3.1974423109204508E-14</v>
      </c>
      <c r="Z43" s="1"/>
      <c r="AA43" s="17">
        <f t="shared" si="27"/>
        <v>10.796316851301572</v>
      </c>
      <c r="AB43" s="19">
        <f t="shared" si="28"/>
        <v>17.743023095837817</v>
      </c>
      <c r="AC43" s="17">
        <f t="shared" si="29"/>
        <v>9.2739406329812226</v>
      </c>
      <c r="AD43" s="17">
        <f t="shared" si="30"/>
        <v>0.93737954102949761</v>
      </c>
      <c r="AE43" s="17">
        <f t="shared" si="31"/>
        <v>0</v>
      </c>
      <c r="AF43" s="19">
        <f t="shared" si="32"/>
        <v>21.683247773257687</v>
      </c>
      <c r="AG43" s="19">
        <f t="shared" si="33"/>
        <v>2.8849943151608608</v>
      </c>
      <c r="AH43" s="19">
        <f t="shared" si="34"/>
        <v>14.182418032731533</v>
      </c>
      <c r="AI43" s="24">
        <f t="shared" si="35"/>
        <v>28.246262226742314</v>
      </c>
    </row>
    <row r="44" spans="1:35" ht="13.15" x14ac:dyDescent="0.4">
      <c r="A44">
        <v>41</v>
      </c>
      <c r="B44" t="s">
        <v>43</v>
      </c>
      <c r="C44">
        <v>50</v>
      </c>
      <c r="D44" s="15">
        <v>43669</v>
      </c>
      <c r="E44">
        <v>71.263720000000006</v>
      </c>
      <c r="F44">
        <v>27.42005</v>
      </c>
      <c r="G44">
        <v>35.882800000000003</v>
      </c>
      <c r="H44">
        <v>1.6128</v>
      </c>
      <c r="I44" s="5">
        <f t="shared" si="19"/>
        <v>136.17937000000001</v>
      </c>
      <c r="J44">
        <v>14.310359999999999</v>
      </c>
      <c r="K44">
        <v>91.797809999999998</v>
      </c>
      <c r="L44">
        <v>0</v>
      </c>
      <c r="M44">
        <v>117.00329924514</v>
      </c>
      <c r="N44" s="2">
        <f t="shared" si="16"/>
        <v>106.10817</v>
      </c>
      <c r="O44" s="2"/>
      <c r="P44" s="14">
        <v>1.3309775093422265</v>
      </c>
      <c r="Q44">
        <f t="shared" si="20"/>
        <v>0.52330775212133818</v>
      </c>
      <c r="R44">
        <f t="shared" si="21"/>
        <v>0.20135245154974649</v>
      </c>
      <c r="S44">
        <f t="shared" si="22"/>
        <v>0.26349659276584991</v>
      </c>
      <c r="T44">
        <f t="shared" si="23"/>
        <v>1.184320356306539E-2</v>
      </c>
      <c r="U44">
        <f t="shared" si="24"/>
        <v>0.13486576952556997</v>
      </c>
      <c r="V44">
        <f t="shared" si="25"/>
        <v>0.86513423047442994</v>
      </c>
      <c r="W44">
        <f t="shared" si="26"/>
        <v>0</v>
      </c>
      <c r="X44">
        <f t="shared" si="17"/>
        <v>1.1026794566821763</v>
      </c>
      <c r="Y44" s="1">
        <f t="shared" si="18"/>
        <v>0</v>
      </c>
      <c r="Z44" s="1"/>
      <c r="AA44" s="17">
        <f t="shared" si="27"/>
        <v>83.606816966165582</v>
      </c>
      <c r="AB44" s="19">
        <f t="shared" si="28"/>
        <v>29.247408036655408</v>
      </c>
      <c r="AC44" s="17">
        <f t="shared" si="29"/>
        <v>39.012190874306476</v>
      </c>
      <c r="AD44" s="17">
        <f t="shared" si="30"/>
        <v>1.6191219083041277</v>
      </c>
      <c r="AE44" s="17">
        <f t="shared" si="31"/>
        <v>0</v>
      </c>
      <c r="AF44" s="19">
        <f t="shared" si="32"/>
        <v>65.512427576990362</v>
      </c>
      <c r="AG44" s="19">
        <f t="shared" si="33"/>
        <v>13.67158078327066</v>
      </c>
      <c r="AH44" s="19">
        <f t="shared" si="34"/>
        <v>74.301529425170486</v>
      </c>
      <c r="AI44" s="24">
        <f t="shared" si="35"/>
        <v>26.285382423009636</v>
      </c>
    </row>
    <row r="45" spans="1:35" ht="13.15" x14ac:dyDescent="0.4">
      <c r="A45">
        <v>42</v>
      </c>
      <c r="B45" t="s">
        <v>43</v>
      </c>
      <c r="C45">
        <v>100</v>
      </c>
      <c r="D45" s="15">
        <v>43669</v>
      </c>
      <c r="E45">
        <v>54.741320000000002</v>
      </c>
      <c r="F45">
        <v>26.38213</v>
      </c>
      <c r="G45">
        <v>26.582899999999999</v>
      </c>
      <c r="H45">
        <v>0.8448</v>
      </c>
      <c r="I45" s="5">
        <f t="shared" si="19"/>
        <v>108.55115000000001</v>
      </c>
      <c r="J45">
        <v>17.831610000000001</v>
      </c>
      <c r="K45">
        <v>51.804209999999998</v>
      </c>
      <c r="L45">
        <v>3.2780000000000001E-3</v>
      </c>
      <c r="M45">
        <v>88.269399430519996</v>
      </c>
      <c r="N45" s="2">
        <f t="shared" si="16"/>
        <v>69.63909799999999</v>
      </c>
      <c r="O45" s="2"/>
      <c r="P45" s="14">
        <v>1.252440847209314</v>
      </c>
      <c r="Q45">
        <f t="shared" si="20"/>
        <v>0.5042905579535546</v>
      </c>
      <c r="R45">
        <f t="shared" si="21"/>
        <v>0.24303869650390622</v>
      </c>
      <c r="S45">
        <f t="shared" si="22"/>
        <v>0.24488823932312093</v>
      </c>
      <c r="T45">
        <f t="shared" si="23"/>
        <v>7.7825062194182186E-3</v>
      </c>
      <c r="U45">
        <f t="shared" si="24"/>
        <v>0.25605745209393727</v>
      </c>
      <c r="V45">
        <f t="shared" si="25"/>
        <v>0.74389547664732825</v>
      </c>
      <c r="W45">
        <f t="shared" si="26"/>
        <v>4.7071258734568916E-5</v>
      </c>
      <c r="X45">
        <f t="shared" si="17"/>
        <v>1.267526460933196</v>
      </c>
      <c r="Y45" s="1">
        <f t="shared" si="18"/>
        <v>2.4487780194704101E-6</v>
      </c>
      <c r="Z45" s="1"/>
      <c r="AA45" s="17">
        <f t="shared" si="27"/>
        <v>61.710083584307768</v>
      </c>
      <c r="AB45" s="19">
        <f t="shared" si="28"/>
        <v>28.000750037258644</v>
      </c>
      <c r="AC45" s="17">
        <f t="shared" si="29"/>
        <v>28.226249418040499</v>
      </c>
      <c r="AD45" s="17">
        <f t="shared" si="30"/>
        <v>0.84645971305711554</v>
      </c>
      <c r="AE45" s="17">
        <f t="shared" si="31"/>
        <v>3.2779610484817527E-3</v>
      </c>
      <c r="AF45" s="19">
        <f t="shared" si="32"/>
        <v>42.075917899916192</v>
      </c>
      <c r="AG45" s="19">
        <f t="shared" si="33"/>
        <v>16.678986139318784</v>
      </c>
      <c r="AH45" s="19">
        <f t="shared" si="34"/>
        <v>60.025358303602545</v>
      </c>
      <c r="AI45" s="24">
        <f t="shared" si="35"/>
        <v>9.7282921000838058</v>
      </c>
    </row>
    <row r="46" spans="1:35" ht="13.15" x14ac:dyDescent="0.4">
      <c r="A46">
        <v>43</v>
      </c>
      <c r="B46" t="s">
        <v>44</v>
      </c>
      <c r="C46">
        <v>15</v>
      </c>
      <c r="D46" s="15">
        <v>43669</v>
      </c>
      <c r="E46">
        <v>277.66327999999999</v>
      </c>
      <c r="F46">
        <v>30.658560000000001</v>
      </c>
      <c r="G46">
        <v>125.50749999999999</v>
      </c>
      <c r="H46">
        <v>2.7136</v>
      </c>
      <c r="I46" s="5">
        <f t="shared" si="19"/>
        <v>436.54293999999999</v>
      </c>
      <c r="J46">
        <v>55.720260000000003</v>
      </c>
      <c r="K46">
        <v>383.37615</v>
      </c>
      <c r="L46">
        <v>29.403659999999999</v>
      </c>
      <c r="M46">
        <v>1.4188699908460001</v>
      </c>
      <c r="N46" s="2">
        <f t="shared" si="16"/>
        <v>468.50006999999999</v>
      </c>
      <c r="O46" s="2"/>
      <c r="P46" s="14">
        <v>1.0621460867089552</v>
      </c>
      <c r="Q46">
        <f t="shared" si="20"/>
        <v>0.63605032760351132</v>
      </c>
      <c r="R46">
        <f t="shared" si="21"/>
        <v>7.0230342059821205E-2</v>
      </c>
      <c r="S46">
        <f t="shared" si="22"/>
        <v>0.28750321789650291</v>
      </c>
      <c r="T46">
        <f t="shared" si="23"/>
        <v>6.2161124401645344E-3</v>
      </c>
      <c r="U46">
        <f t="shared" si="24"/>
        <v>0.11893330133333813</v>
      </c>
      <c r="V46">
        <f t="shared" si="25"/>
        <v>0.818305427360982</v>
      </c>
      <c r="W46">
        <f t="shared" si="26"/>
        <v>6.276127130567985E-2</v>
      </c>
      <c r="X46">
        <f t="shared" si="17"/>
        <v>3.028537414831123E-3</v>
      </c>
      <c r="Y46" s="1">
        <f t="shared" si="18"/>
        <v>-1.2101430968414206E-13</v>
      </c>
      <c r="Z46" s="1"/>
      <c r="AA46" s="17">
        <f t="shared" si="27"/>
        <v>288.6387649080927</v>
      </c>
      <c r="AB46" s="19">
        <f t="shared" si="28"/>
        <v>30.792370539890527</v>
      </c>
      <c r="AC46" s="17">
        <f t="shared" si="29"/>
        <v>127.74996759251601</v>
      </c>
      <c r="AD46" s="17">
        <f t="shared" si="30"/>
        <v>2.71464828284534</v>
      </c>
      <c r="AE46" s="17">
        <f t="shared" si="31"/>
        <v>29.288974922844588</v>
      </c>
      <c r="AF46" s="19">
        <f t="shared" si="32"/>
        <v>363.87975523079223</v>
      </c>
      <c r="AG46" s="19">
        <f t="shared" si="33"/>
        <v>55.308418226864163</v>
      </c>
      <c r="AH46" s="19">
        <f t="shared" si="34"/>
        <v>1.4186029428437268</v>
      </c>
      <c r="AI46" s="24">
        <f t="shared" si="35"/>
        <v>19.496394769207768</v>
      </c>
    </row>
    <row r="47" spans="1:35" ht="13.15" x14ac:dyDescent="0.4">
      <c r="A47">
        <v>44</v>
      </c>
      <c r="B47" t="s">
        <v>44</v>
      </c>
      <c r="C47">
        <v>50</v>
      </c>
      <c r="D47" s="15">
        <v>43669</v>
      </c>
      <c r="E47">
        <v>329.14359999999999</v>
      </c>
      <c r="F47">
        <v>31.441990000000001</v>
      </c>
      <c r="G47">
        <v>135.54810000000001</v>
      </c>
      <c r="H47">
        <v>3.1743999999999999</v>
      </c>
      <c r="I47" s="5">
        <f t="shared" si="19"/>
        <v>499.30808999999999</v>
      </c>
      <c r="J47">
        <v>54.170909999999999</v>
      </c>
      <c r="K47">
        <v>412.49648999999999</v>
      </c>
      <c r="L47">
        <v>24.699729999999999</v>
      </c>
      <c r="M47">
        <v>4.2708699724460004</v>
      </c>
      <c r="N47" s="2">
        <f t="shared" si="16"/>
        <v>491.36712999999997</v>
      </c>
      <c r="O47" s="2"/>
      <c r="P47" s="14">
        <v>0.99397659888667356</v>
      </c>
      <c r="Q47">
        <f t="shared" si="20"/>
        <v>0.65919941333215726</v>
      </c>
      <c r="R47">
        <f t="shared" si="21"/>
        <v>6.2971120696241875E-2</v>
      </c>
      <c r="S47">
        <f t="shared" si="22"/>
        <v>0.27147186820065344</v>
      </c>
      <c r="T47">
        <f t="shared" si="23"/>
        <v>6.3575977709473923E-3</v>
      </c>
      <c r="U47">
        <f t="shared" si="24"/>
        <v>0.11024528645210761</v>
      </c>
      <c r="V47">
        <f t="shared" si="25"/>
        <v>0.83948735032398281</v>
      </c>
      <c r="W47">
        <f t="shared" si="26"/>
        <v>5.0267363223909588E-2</v>
      </c>
      <c r="X47">
        <f t="shared" si="17"/>
        <v>8.6918104848527425E-3</v>
      </c>
      <c r="Y47" s="1">
        <f t="shared" si="18"/>
        <v>-3.9968028886505635E-14</v>
      </c>
      <c r="Z47" s="1"/>
      <c r="AA47" s="17">
        <f t="shared" si="27"/>
        <v>327.83669502263621</v>
      </c>
      <c r="AB47" s="19">
        <f t="shared" si="28"/>
        <v>31.430064043178437</v>
      </c>
      <c r="AC47" s="17">
        <f t="shared" si="29"/>
        <v>135.32645392199913</v>
      </c>
      <c r="AD47" s="17">
        <f t="shared" si="30"/>
        <v>3.1742784383788809</v>
      </c>
      <c r="AE47" s="17">
        <f t="shared" si="31"/>
        <v>24.707208596391958</v>
      </c>
      <c r="AF47" s="19">
        <f t="shared" si="32"/>
        <v>414.58230698067564</v>
      </c>
      <c r="AG47" s="19">
        <f t="shared" si="33"/>
        <v>54.206882278438087</v>
      </c>
      <c r="AH47" s="19">
        <f t="shared" si="34"/>
        <v>4.2710935706870261</v>
      </c>
      <c r="AI47" s="24">
        <f t="shared" si="35"/>
        <v>-2.085816980675645</v>
      </c>
    </row>
    <row r="48" spans="1:35" ht="13.15" x14ac:dyDescent="0.4">
      <c r="A48">
        <v>45</v>
      </c>
      <c r="B48" t="s">
        <v>44</v>
      </c>
      <c r="C48">
        <v>100</v>
      </c>
      <c r="D48" s="15">
        <v>43669</v>
      </c>
      <c r="E48">
        <v>235.31376</v>
      </c>
      <c r="F48">
        <v>19.974969999999999</v>
      </c>
      <c r="G48">
        <v>79.831000000000003</v>
      </c>
      <c r="H48">
        <v>1.0496000000000001</v>
      </c>
      <c r="I48" s="5">
        <f t="shared" si="19"/>
        <v>336.16933</v>
      </c>
      <c r="J48">
        <v>46.339649999999999</v>
      </c>
      <c r="K48">
        <v>55.67859</v>
      </c>
      <c r="L48">
        <v>0.39827699999999999</v>
      </c>
      <c r="M48">
        <v>329.33469787526002</v>
      </c>
      <c r="N48" s="2">
        <f t="shared" si="16"/>
        <v>102.41651699999998</v>
      </c>
      <c r="O48" s="2"/>
      <c r="P48" s="14">
        <v>1.0738013365928354</v>
      </c>
      <c r="Q48">
        <f t="shared" si="20"/>
        <v>0.69998580774754204</v>
      </c>
      <c r="R48">
        <f t="shared" si="21"/>
        <v>5.9419370589220616E-2</v>
      </c>
      <c r="S48">
        <f t="shared" si="22"/>
        <v>0.23747258561630236</v>
      </c>
      <c r="T48">
        <f t="shared" si="23"/>
        <v>3.1222360469350375E-3</v>
      </c>
      <c r="U48">
        <f t="shared" si="24"/>
        <v>0.45246266283396464</v>
      </c>
      <c r="V48">
        <f t="shared" si="25"/>
        <v>0.54364854059624002</v>
      </c>
      <c r="W48">
        <f t="shared" si="26"/>
        <v>3.8887965697954759E-3</v>
      </c>
      <c r="X48">
        <f t="shared" si="17"/>
        <v>3.215640479897008</v>
      </c>
      <c r="Y48" s="1">
        <f t="shared" si="18"/>
        <v>1.3907060889550849E-5</v>
      </c>
      <c r="Z48" s="1"/>
      <c r="AA48" s="17">
        <f t="shared" si="27"/>
        <v>247.47004253535334</v>
      </c>
      <c r="AB48" s="19">
        <f t="shared" si="28"/>
        <v>20.062564817098693</v>
      </c>
      <c r="AC48" s="17">
        <f t="shared" si="29"/>
        <v>81.230101678587545</v>
      </c>
      <c r="AD48" s="17">
        <f t="shared" si="30"/>
        <v>1.0498418542830161</v>
      </c>
      <c r="AE48" s="17">
        <f t="shared" si="31"/>
        <v>0.39816269514438118</v>
      </c>
      <c r="AF48" s="19">
        <f t="shared" si="32"/>
        <v>53.444654228229048</v>
      </c>
      <c r="AG48" s="19">
        <f t="shared" si="33"/>
        <v>44.792260221895575</v>
      </c>
      <c r="AH48" s="19">
        <f t="shared" si="34"/>
        <v>251.17745983299264</v>
      </c>
      <c r="AI48" s="24">
        <f t="shared" si="35"/>
        <v>2.2339357717709518</v>
      </c>
    </row>
    <row r="49" spans="1:35" ht="13.15" x14ac:dyDescent="0.4">
      <c r="A49">
        <v>46</v>
      </c>
      <c r="B49" t="s">
        <v>33</v>
      </c>
      <c r="C49">
        <v>15</v>
      </c>
      <c r="D49" s="15">
        <v>43672</v>
      </c>
      <c r="E49">
        <v>16.522400000000001</v>
      </c>
      <c r="F49">
        <v>22.080749999999998</v>
      </c>
      <c r="G49">
        <v>12.345000000000001</v>
      </c>
      <c r="H49">
        <v>0.66559999999999997</v>
      </c>
      <c r="I49" s="5">
        <f t="shared" si="19"/>
        <v>51.613749999999996</v>
      </c>
      <c r="J49">
        <v>4.8170700000000002</v>
      </c>
      <c r="K49">
        <v>25.495920000000002</v>
      </c>
      <c r="L49">
        <v>1.8651819999999999</v>
      </c>
      <c r="M49">
        <v>32.869299787940001</v>
      </c>
      <c r="N49" s="2">
        <f t="shared" si="16"/>
        <v>32.178172000000004</v>
      </c>
      <c r="O49" s="2"/>
      <c r="P49" s="14">
        <v>1.1857988609143573</v>
      </c>
      <c r="Q49">
        <f t="shared" si="20"/>
        <v>0.32011624809280476</v>
      </c>
      <c r="R49">
        <f t="shared" si="21"/>
        <v>0.42780751253299748</v>
      </c>
      <c r="S49">
        <f t="shared" si="22"/>
        <v>0.23918045094572671</v>
      </c>
      <c r="T49">
        <f t="shared" si="23"/>
        <v>1.2895788428471095E-2</v>
      </c>
      <c r="U49">
        <f t="shared" si="24"/>
        <v>0.1496999270188499</v>
      </c>
      <c r="V49">
        <f t="shared" si="25"/>
        <v>0.79233587290166763</v>
      </c>
      <c r="W49">
        <f t="shared" si="26"/>
        <v>5.7964200079482442E-2</v>
      </c>
      <c r="X49">
        <f t="shared" si="17"/>
        <v>1.0214781556870289</v>
      </c>
      <c r="Y49" s="1">
        <f t="shared" si="18"/>
        <v>0</v>
      </c>
      <c r="Z49" s="1"/>
      <c r="AA49" s="17">
        <f t="shared" si="27"/>
        <v>17.505106655268378</v>
      </c>
      <c r="AB49" s="19">
        <f t="shared" si="28"/>
        <v>23.83586377391611</v>
      </c>
      <c r="AC49" s="17">
        <f t="shared" si="29"/>
        <v>12.893605076156232</v>
      </c>
      <c r="AD49" s="17">
        <f t="shared" si="30"/>
        <v>0.66719479277608107</v>
      </c>
      <c r="AE49" s="17">
        <f t="shared" si="31"/>
        <v>1.8450945823377112</v>
      </c>
      <c r="AF49" s="19">
        <f t="shared" si="32"/>
        <v>21.742535520127625</v>
      </c>
      <c r="AG49" s="19">
        <f t="shared" si="33"/>
        <v>4.6830876493125508</v>
      </c>
      <c r="AH49" s="19">
        <f t="shared" si="34"/>
        <v>26.631052546338925</v>
      </c>
      <c r="AI49" s="24">
        <f t="shared" si="35"/>
        <v>3.753384479872377</v>
      </c>
    </row>
    <row r="50" spans="1:35" ht="13.15" x14ac:dyDescent="0.4">
      <c r="A50">
        <v>47</v>
      </c>
      <c r="B50" t="s">
        <v>36</v>
      </c>
      <c r="C50">
        <v>15</v>
      </c>
      <c r="D50" s="15">
        <v>43704</v>
      </c>
      <c r="E50">
        <v>41.436439999999997</v>
      </c>
      <c r="F50">
        <v>22.105699999999999</v>
      </c>
      <c r="G50">
        <v>24.443100000000001</v>
      </c>
      <c r="H50">
        <v>1.1264000000000001</v>
      </c>
      <c r="I50" s="5">
        <f t="shared" si="19"/>
        <v>89.111640000000008</v>
      </c>
      <c r="J50">
        <v>3.2113800000000001</v>
      </c>
      <c r="K50">
        <v>78.237480000000005</v>
      </c>
      <c r="L50">
        <v>5.2120199999999999</v>
      </c>
      <c r="M50">
        <v>4.2779999723999998E-2</v>
      </c>
      <c r="N50" s="2">
        <f t="shared" si="16"/>
        <v>86.660880000000006</v>
      </c>
      <c r="O50" s="2"/>
      <c r="P50" s="14">
        <v>0.97651569450114217</v>
      </c>
      <c r="Q50">
        <f t="shared" si="20"/>
        <v>0.46499469654020498</v>
      </c>
      <c r="R50">
        <f t="shared" si="21"/>
        <v>0.24806748029774783</v>
      </c>
      <c r="S50">
        <f t="shared" si="22"/>
        <v>0.27429749918192503</v>
      </c>
      <c r="T50">
        <f t="shared" si="23"/>
        <v>1.2640323980122013E-2</v>
      </c>
      <c r="U50">
        <f t="shared" si="24"/>
        <v>3.705685887334631E-2</v>
      </c>
      <c r="V50">
        <f t="shared" si="25"/>
        <v>0.90280043313661251</v>
      </c>
      <c r="W50">
        <f t="shared" si="26"/>
        <v>6.0142707990041178E-2</v>
      </c>
      <c r="X50">
        <f t="shared" si="17"/>
        <v>4.9364834195083176E-4</v>
      </c>
      <c r="Y50" s="1">
        <f t="shared" si="18"/>
        <v>1.0012768932449179E-6</v>
      </c>
      <c r="Z50" s="1"/>
      <c r="AA50" s="17">
        <f t="shared" si="27"/>
        <v>40.983950863507161</v>
      </c>
      <c r="AB50" s="19">
        <f t="shared" si="28"/>
        <v>21.976918989487459</v>
      </c>
      <c r="AC50" s="17">
        <f t="shared" si="29"/>
        <v>24.285645218373826</v>
      </c>
      <c r="AD50" s="17">
        <f t="shared" si="30"/>
        <v>1.1260656290273801</v>
      </c>
      <c r="AE50" s="17">
        <f t="shared" si="31"/>
        <v>5.2193815077503567</v>
      </c>
      <c r="AF50" s="19">
        <f t="shared" si="32"/>
        <v>79.896242977496499</v>
      </c>
      <c r="AG50" s="19">
        <f t="shared" si="33"/>
        <v>3.214174718200038</v>
      </c>
      <c r="AH50" s="19">
        <f t="shared" si="34"/>
        <v>4.2780495672043603E-2</v>
      </c>
      <c r="AI50" s="24">
        <f t="shared" si="35"/>
        <v>-1.6587629774964938</v>
      </c>
    </row>
    <row r="51" spans="1:35" ht="13.15" x14ac:dyDescent="0.4">
      <c r="A51">
        <v>48</v>
      </c>
      <c r="B51" t="s">
        <v>36</v>
      </c>
      <c r="C51">
        <v>100</v>
      </c>
      <c r="D51" s="15">
        <v>43704</v>
      </c>
      <c r="E51">
        <v>99.960520000000002</v>
      </c>
      <c r="F51">
        <v>20.588740000000001</v>
      </c>
      <c r="G51">
        <v>45.1004</v>
      </c>
      <c r="H51">
        <v>0.69120000000000004</v>
      </c>
      <c r="I51" s="5">
        <f t="shared" si="19"/>
        <v>166.34086000000002</v>
      </c>
      <c r="J51">
        <v>18.395009999999999</v>
      </c>
      <c r="K51">
        <v>130.04168999999999</v>
      </c>
      <c r="L51">
        <v>8.6539199999999994</v>
      </c>
      <c r="M51">
        <v>0.96967999374400005</v>
      </c>
      <c r="N51" s="2">
        <f t="shared" si="16"/>
        <v>157.09061999999997</v>
      </c>
      <c r="O51" s="2"/>
      <c r="P51" s="14">
        <v>0.95527321239065599</v>
      </c>
      <c r="Q51">
        <f t="shared" si="20"/>
        <v>0.60093785736108363</v>
      </c>
      <c r="R51">
        <f t="shared" si="21"/>
        <v>0.12377439914642739</v>
      </c>
      <c r="S51">
        <f t="shared" si="22"/>
        <v>0.27113242050089192</v>
      </c>
      <c r="T51">
        <f t="shared" si="23"/>
        <v>4.1553229915968926E-3</v>
      </c>
      <c r="U51">
        <f t="shared" si="24"/>
        <v>0.11709808007632794</v>
      </c>
      <c r="V51">
        <f t="shared" si="25"/>
        <v>0.82781320743402764</v>
      </c>
      <c r="W51">
        <f t="shared" si="26"/>
        <v>5.5088712489644517E-2</v>
      </c>
      <c r="X51">
        <f t="shared" si="17"/>
        <v>6.1727428012188137E-3</v>
      </c>
      <c r="Y51" s="1">
        <f t="shared" si="18"/>
        <v>1.768558800852027E-6</v>
      </c>
      <c r="Z51" s="1"/>
      <c r="AA51" s="17">
        <f t="shared" si="27"/>
        <v>97.273779152965815</v>
      </c>
      <c r="AB51" s="19">
        <f t="shared" si="28"/>
        <v>20.474760091712827</v>
      </c>
      <c r="AC51" s="17">
        <f t="shared" si="29"/>
        <v>44.55347276266977</v>
      </c>
      <c r="AD51" s="17">
        <f t="shared" si="30"/>
        <v>0.69107153754316497</v>
      </c>
      <c r="AE51" s="17">
        <f t="shared" si="31"/>
        <v>8.6752427495379312</v>
      </c>
      <c r="AF51" s="19">
        <f t="shared" si="32"/>
        <v>134.85653890617397</v>
      </c>
      <c r="AG51" s="19">
        <f t="shared" si="33"/>
        <v>18.491352410878882</v>
      </c>
      <c r="AH51" s="19">
        <f t="shared" si="34"/>
        <v>0.96994770974199696</v>
      </c>
      <c r="AI51" s="24">
        <f t="shared" si="35"/>
        <v>-4.8148489061739781</v>
      </c>
    </row>
    <row r="52" spans="1:35" ht="13.15" x14ac:dyDescent="0.4">
      <c r="A52">
        <v>49</v>
      </c>
      <c r="B52" t="s">
        <v>42</v>
      </c>
      <c r="C52">
        <v>100</v>
      </c>
      <c r="D52" s="15">
        <v>43704</v>
      </c>
      <c r="E52">
        <v>152.65827999999999</v>
      </c>
      <c r="F52">
        <v>23.722460000000002</v>
      </c>
      <c r="G52">
        <v>68.226699999999994</v>
      </c>
      <c r="H52">
        <v>0.51200000000000001</v>
      </c>
      <c r="I52" s="5">
        <f t="shared" si="19"/>
        <v>245.11944</v>
      </c>
      <c r="J52">
        <v>19.578150000000001</v>
      </c>
      <c r="K52">
        <v>206.52945</v>
      </c>
      <c r="L52">
        <v>13.833159999999999</v>
      </c>
      <c r="M52">
        <v>0</v>
      </c>
      <c r="N52" s="2">
        <f t="shared" si="16"/>
        <v>239.94075999999998</v>
      </c>
      <c r="O52" s="2"/>
      <c r="P52" s="14">
        <v>0.9825355561760174</v>
      </c>
      <c r="Q52">
        <f t="shared" si="20"/>
        <v>0.62279140324406745</v>
      </c>
      <c r="R52">
        <f t="shared" si="21"/>
        <v>9.6779186505974404E-2</v>
      </c>
      <c r="S52">
        <f t="shared" si="22"/>
        <v>0.2783406326319936</v>
      </c>
      <c r="T52">
        <f t="shared" si="23"/>
        <v>2.088777617964532E-3</v>
      </c>
      <c r="U52">
        <f t="shared" si="24"/>
        <v>8.1595765554797792E-2</v>
      </c>
      <c r="V52">
        <f t="shared" si="25"/>
        <v>0.86075183724516002</v>
      </c>
      <c r="W52">
        <f t="shared" si="26"/>
        <v>5.7652397200042213E-2</v>
      </c>
      <c r="X52">
        <f t="shared" si="17"/>
        <v>0</v>
      </c>
      <c r="Y52" s="1">
        <f t="shared" si="18"/>
        <v>-1.0302869668521453E-13</v>
      </c>
      <c r="Z52" s="1"/>
      <c r="AA52" s="17">
        <f t="shared" si="27"/>
        <v>150.99786084996492</v>
      </c>
      <c r="AB52" s="19">
        <f t="shared" si="28"/>
        <v>23.682364424642078</v>
      </c>
      <c r="AC52" s="17">
        <f t="shared" si="29"/>
        <v>67.895045621421289</v>
      </c>
      <c r="AD52" s="17">
        <f t="shared" si="30"/>
        <v>0.51198132257824269</v>
      </c>
      <c r="AE52" s="17">
        <f t="shared" si="31"/>
        <v>13.847088153032061</v>
      </c>
      <c r="AF52" s="19">
        <f t="shared" si="32"/>
        <v>209.6341147189529</v>
      </c>
      <c r="AG52" s="19">
        <f t="shared" si="33"/>
        <v>19.606049346621706</v>
      </c>
      <c r="AH52" s="19">
        <f t="shared" si="34"/>
        <v>0</v>
      </c>
      <c r="AI52" s="24">
        <f t="shared" si="35"/>
        <v>-3.104664718952904</v>
      </c>
    </row>
    <row r="53" spans="1:35" ht="13.15" x14ac:dyDescent="0.4">
      <c r="A53">
        <v>50</v>
      </c>
      <c r="B53" t="s">
        <v>34</v>
      </c>
      <c r="C53">
        <v>15</v>
      </c>
      <c r="D53" s="15">
        <v>43704</v>
      </c>
      <c r="E53">
        <v>9.9134399999999996</v>
      </c>
      <c r="F53">
        <v>9.5358900000000002</v>
      </c>
      <c r="G53">
        <v>6.2548000000000004</v>
      </c>
      <c r="H53">
        <v>0.69120000000000004</v>
      </c>
      <c r="I53" s="5">
        <f t="shared" si="19"/>
        <v>26.395329999999998</v>
      </c>
      <c r="J53">
        <v>1.54935</v>
      </c>
      <c r="K53">
        <v>16.122420000000002</v>
      </c>
      <c r="L53">
        <v>7.0640900000000002</v>
      </c>
      <c r="M53">
        <v>4.9909999678E-2</v>
      </c>
      <c r="N53" s="2">
        <f t="shared" si="16"/>
        <v>24.735860000000002</v>
      </c>
      <c r="O53" s="2"/>
      <c r="P53" s="14">
        <v>0.92440331176374402</v>
      </c>
      <c r="Q53">
        <f t="shared" si="20"/>
        <v>0.37557552794376886</v>
      </c>
      <c r="R53">
        <f t="shared" si="21"/>
        <v>0.36127186134820066</v>
      </c>
      <c r="S53">
        <f t="shared" si="22"/>
        <v>0.23696616030184131</v>
      </c>
      <c r="T53">
        <f t="shared" si="23"/>
        <v>2.618645040618928E-2</v>
      </c>
      <c r="U53">
        <f t="shared" si="24"/>
        <v>6.2635784646258505E-2</v>
      </c>
      <c r="V53">
        <f t="shared" si="25"/>
        <v>0.65178328143836517</v>
      </c>
      <c r="W53">
        <f t="shared" si="26"/>
        <v>0.28558093391537626</v>
      </c>
      <c r="X53">
        <f t="shared" si="17"/>
        <v>2.0177183925685219E-3</v>
      </c>
      <c r="Y53" s="1">
        <f t="shared" si="18"/>
        <v>-4.1078251911130792E-15</v>
      </c>
      <c r="Z53" s="1"/>
      <c r="AA53" s="17">
        <f t="shared" si="27"/>
        <v>9.6319749736018707</v>
      </c>
      <c r="AB53" s="19">
        <f t="shared" si="28"/>
        <v>9.2754557252061574</v>
      </c>
      <c r="AC53" s="17">
        <f t="shared" si="29"/>
        <v>6.1427524075936688</v>
      </c>
      <c r="AD53" s="17">
        <f t="shared" si="30"/>
        <v>0.68983169430940128</v>
      </c>
      <c r="AE53" s="17">
        <f t="shared" si="31"/>
        <v>7.2165964470604456</v>
      </c>
      <c r="AF53" s="19">
        <f t="shared" si="32"/>
        <v>16.916814479126149</v>
      </c>
      <c r="AG53" s="19">
        <f t="shared" si="33"/>
        <v>1.5566862619330966</v>
      </c>
      <c r="AH53" s="19">
        <f t="shared" si="34"/>
        <v>4.9917612591409921E-2</v>
      </c>
      <c r="AI53" s="24">
        <f t="shared" si="35"/>
        <v>-0.79439447912614725</v>
      </c>
    </row>
    <row r="54" spans="1:35" ht="13.15" x14ac:dyDescent="0.4">
      <c r="A54">
        <v>51</v>
      </c>
      <c r="B54" t="s">
        <v>34</v>
      </c>
      <c r="C54">
        <v>100</v>
      </c>
      <c r="D54" s="15">
        <v>43704</v>
      </c>
      <c r="E54">
        <v>53.132559999999998</v>
      </c>
      <c r="F54">
        <v>22.175560000000001</v>
      </c>
      <c r="G54">
        <v>28.805</v>
      </c>
      <c r="H54">
        <v>0.33279999999999998</v>
      </c>
      <c r="I54" s="5">
        <f t="shared" si="19"/>
        <v>104.44592000000002</v>
      </c>
      <c r="J54">
        <v>6.7044600000000001</v>
      </c>
      <c r="K54">
        <v>89.610659999999996</v>
      </c>
      <c r="L54">
        <v>11.76802</v>
      </c>
      <c r="M54">
        <v>2.8519999816000001E-2</v>
      </c>
      <c r="N54" s="2">
        <f t="shared" si="16"/>
        <v>108.08313999999999</v>
      </c>
      <c r="O54" s="2"/>
      <c r="P54" s="14">
        <v>1.0316900269838034</v>
      </c>
      <c r="Q54">
        <f t="shared" si="20"/>
        <v>0.50870881313506544</v>
      </c>
      <c r="R54">
        <f t="shared" si="21"/>
        <v>0.21231619195847953</v>
      </c>
      <c r="S54">
        <f t="shared" si="22"/>
        <v>0.27578865694322952</v>
      </c>
      <c r="T54">
        <f t="shared" si="23"/>
        <v>3.1863379632253701E-3</v>
      </c>
      <c r="U54">
        <f t="shared" si="24"/>
        <v>6.2030581272897893E-2</v>
      </c>
      <c r="V54">
        <f t="shared" si="25"/>
        <v>0.82909008750115887</v>
      </c>
      <c r="W54">
        <f t="shared" si="26"/>
        <v>0.1088793312259433</v>
      </c>
      <c r="X54">
        <f t="shared" si="17"/>
        <v>2.6387094061108889E-4</v>
      </c>
      <c r="Y54" s="1">
        <f t="shared" si="18"/>
        <v>-9.1836260818212168E-15</v>
      </c>
      <c r="Z54" s="1"/>
      <c r="AA54" s="17">
        <f t="shared" si="27"/>
        <v>53.989109788034661</v>
      </c>
      <c r="AB54" s="19">
        <f t="shared" si="28"/>
        <v>22.324763950125202</v>
      </c>
      <c r="AC54" s="17">
        <f t="shared" si="29"/>
        <v>29.056748498184209</v>
      </c>
      <c r="AD54" s="17">
        <f t="shared" si="30"/>
        <v>0.33283360452527216</v>
      </c>
      <c r="AE54" s="17">
        <f t="shared" si="31"/>
        <v>11.727415753893007</v>
      </c>
      <c r="AF54" s="19">
        <f t="shared" si="32"/>
        <v>87.256239623217525</v>
      </c>
      <c r="AG54" s="19">
        <f t="shared" si="33"/>
        <v>6.6912807024292515</v>
      </c>
      <c r="AH54" s="19">
        <f t="shared" si="34"/>
        <v>2.8519761329558992E-2</v>
      </c>
      <c r="AI54" s="24">
        <f t="shared" si="35"/>
        <v>2.3544203767824712</v>
      </c>
    </row>
    <row r="55" spans="1:35" ht="13.15" x14ac:dyDescent="0.4">
      <c r="A55">
        <v>52</v>
      </c>
      <c r="B55" t="s">
        <v>43</v>
      </c>
      <c r="C55">
        <v>15</v>
      </c>
      <c r="D55" s="15">
        <v>43704</v>
      </c>
      <c r="E55">
        <v>7.3916000000000004</v>
      </c>
      <c r="F55">
        <v>10.104749999999999</v>
      </c>
      <c r="G55">
        <v>5.6787000000000001</v>
      </c>
      <c r="H55">
        <v>0.53759999999999997</v>
      </c>
      <c r="I55" s="5">
        <f t="shared" si="19"/>
        <v>23.71265</v>
      </c>
      <c r="J55">
        <v>1.1268</v>
      </c>
      <c r="K55">
        <v>13.060409999999999</v>
      </c>
      <c r="L55">
        <v>7.6705199999999998</v>
      </c>
      <c r="M55">
        <v>7.1299999540000002E-3</v>
      </c>
      <c r="N55" s="2">
        <f t="shared" si="16"/>
        <v>21.857729999999997</v>
      </c>
      <c r="O55" s="2"/>
      <c r="P55" s="14">
        <v>0.90031299019799405</v>
      </c>
      <c r="Q55">
        <f t="shared" si="20"/>
        <v>0.31171547676029465</v>
      </c>
      <c r="R55">
        <f t="shared" si="21"/>
        <v>0.42613330859267096</v>
      </c>
      <c r="S55">
        <f t="shared" si="22"/>
        <v>0.23947977134567414</v>
      </c>
      <c r="T55">
        <f t="shared" si="23"/>
        <v>2.2671443301360242E-2</v>
      </c>
      <c r="U55">
        <f t="shared" si="24"/>
        <v>5.1551556360152691E-2</v>
      </c>
      <c r="V55">
        <f t="shared" si="25"/>
        <v>0.59751904703736392</v>
      </c>
      <c r="W55">
        <f t="shared" si="26"/>
        <v>0.35092939660248346</v>
      </c>
      <c r="X55">
        <f t="shared" si="17"/>
        <v>3.2620038558441343E-4</v>
      </c>
      <c r="Y55" s="1">
        <f t="shared" si="18"/>
        <v>1.6688123759614482E-7</v>
      </c>
      <c r="Z55" s="1"/>
      <c r="AA55" s="17">
        <f t="shared" si="27"/>
        <v>7.161913541438234</v>
      </c>
      <c r="AB55" s="19">
        <f t="shared" si="28"/>
        <v>9.675500671574822</v>
      </c>
      <c r="AC55" s="17">
        <f t="shared" si="29"/>
        <v>5.5431322681882236</v>
      </c>
      <c r="AD55" s="17">
        <f t="shared" si="30"/>
        <v>0.53638499798520889</v>
      </c>
      <c r="AE55" s="17">
        <f t="shared" si="31"/>
        <v>7.9388585850788882</v>
      </c>
      <c r="AF55" s="19">
        <f t="shared" si="32"/>
        <v>13.83835184711533</v>
      </c>
      <c r="AG55" s="19">
        <f t="shared" si="33"/>
        <v>1.1325906483041137</v>
      </c>
      <c r="AH55" s="19">
        <f t="shared" si="34"/>
        <v>7.1302318069180852E-3</v>
      </c>
      <c r="AI55" s="24">
        <f t="shared" si="35"/>
        <v>-0.77794184711533099</v>
      </c>
    </row>
    <row r="56" spans="1:35" ht="13.15" x14ac:dyDescent="0.4">
      <c r="A56">
        <v>53</v>
      </c>
      <c r="B56" t="s">
        <v>43</v>
      </c>
      <c r="C56">
        <v>50</v>
      </c>
      <c r="D56" s="15">
        <v>43704</v>
      </c>
      <c r="E56">
        <v>79.959720000000004</v>
      </c>
      <c r="F56">
        <v>27.5947</v>
      </c>
      <c r="G56">
        <v>40.491599999999998</v>
      </c>
      <c r="H56">
        <v>0.33279999999999998</v>
      </c>
      <c r="I56" s="5">
        <f t="shared" si="19"/>
        <v>148.37881999999999</v>
      </c>
      <c r="J56">
        <v>12.113099999999999</v>
      </c>
      <c r="K56">
        <v>118.60602</v>
      </c>
      <c r="L56">
        <v>11.800800000000001</v>
      </c>
      <c r="M56">
        <v>2.8519999816000001E-2</v>
      </c>
      <c r="N56" s="2">
        <f t="shared" si="16"/>
        <v>142.51992000000001</v>
      </c>
      <c r="O56" s="2"/>
      <c r="P56" s="14">
        <v>0.96355632747199638</v>
      </c>
      <c r="Q56">
        <f t="shared" si="20"/>
        <v>0.53888904090219891</v>
      </c>
      <c r="R56">
        <f t="shared" si="21"/>
        <v>0.18597465595157045</v>
      </c>
      <c r="S56">
        <f t="shared" si="22"/>
        <v>0.2728933954320435</v>
      </c>
      <c r="T56">
        <f t="shared" si="23"/>
        <v>2.2429077141872403E-3</v>
      </c>
      <c r="U56">
        <f t="shared" si="24"/>
        <v>8.4992329493308719E-2</v>
      </c>
      <c r="V56">
        <f t="shared" si="25"/>
        <v>0.83220661364390314</v>
      </c>
      <c r="W56">
        <f t="shared" si="26"/>
        <v>8.2801056862788019E-2</v>
      </c>
      <c r="X56">
        <f t="shared" si="17"/>
        <v>2.0011237598224866E-4</v>
      </c>
      <c r="Y56" s="1">
        <f t="shared" si="18"/>
        <v>-8.2458345707081548E-14</v>
      </c>
      <c r="Z56" s="1"/>
      <c r="AA56" s="17">
        <f t="shared" si="27"/>
        <v>78.389383403930665</v>
      </c>
      <c r="AB56" s="19">
        <f t="shared" si="28"/>
        <v>27.407674176180937</v>
      </c>
      <c r="AC56" s="17">
        <f t="shared" si="29"/>
        <v>40.088901419699013</v>
      </c>
      <c r="AD56" s="17">
        <f t="shared" si="30"/>
        <v>0.33277279699647477</v>
      </c>
      <c r="AE56" s="17">
        <f t="shared" si="31"/>
        <v>11.836409794354788</v>
      </c>
      <c r="AF56" s="19">
        <f t="shared" si="32"/>
        <v>122.20318228353381</v>
      </c>
      <c r="AG56" s="19">
        <f t="shared" si="33"/>
        <v>12.150619511111067</v>
      </c>
      <c r="AH56" s="19">
        <f t="shared" si="34"/>
        <v>2.8520207807507383E-2</v>
      </c>
      <c r="AI56" s="24">
        <f t="shared" si="35"/>
        <v>-3.5971622835338053</v>
      </c>
    </row>
    <row r="57" spans="1:35" ht="13.15" x14ac:dyDescent="0.4">
      <c r="A57">
        <v>54</v>
      </c>
      <c r="B57" t="s">
        <v>43</v>
      </c>
      <c r="C57">
        <v>100</v>
      </c>
      <c r="D57" s="15">
        <v>43704</v>
      </c>
      <c r="E57">
        <v>50.132440000000003</v>
      </c>
      <c r="F57">
        <v>23.547809999999998</v>
      </c>
      <c r="G57">
        <v>22.3856</v>
      </c>
      <c r="H57">
        <v>0.40960000000000002</v>
      </c>
      <c r="I57" s="5">
        <f t="shared" si="19"/>
        <v>96.475449999999995</v>
      </c>
      <c r="J57">
        <v>13.49343</v>
      </c>
      <c r="K57">
        <v>71.738519999999994</v>
      </c>
      <c r="L57">
        <v>10.292920000000001</v>
      </c>
      <c r="M57">
        <v>0</v>
      </c>
      <c r="N57" s="2">
        <f t="shared" si="16"/>
        <v>95.524869999999993</v>
      </c>
      <c r="O57" s="2"/>
      <c r="P57" s="14">
        <v>0.98987502169723984</v>
      </c>
      <c r="Q57">
        <f t="shared" si="20"/>
        <v>0.51963934866331285</v>
      </c>
      <c r="R57">
        <f t="shared" si="21"/>
        <v>0.2440808516570796</v>
      </c>
      <c r="S57">
        <f t="shared" si="22"/>
        <v>0.23203415998577878</v>
      </c>
      <c r="T57">
        <f t="shared" si="23"/>
        <v>4.2456396938288449E-3</v>
      </c>
      <c r="U57">
        <f t="shared" si="24"/>
        <v>0.1412556750927795</v>
      </c>
      <c r="V57">
        <f t="shared" si="25"/>
        <v>0.75099311833661742</v>
      </c>
      <c r="W57">
        <f t="shared" si="26"/>
        <v>0.10775120657060304</v>
      </c>
      <c r="X57">
        <f t="shared" si="17"/>
        <v>0</v>
      </c>
      <c r="Y57" s="1">
        <f t="shared" si="18"/>
        <v>9.2933973405706638E-7</v>
      </c>
      <c r="Z57" s="1"/>
      <c r="AA57" s="17">
        <f t="shared" si="27"/>
        <v>49.86867633198662</v>
      </c>
      <c r="AB57" s="19">
        <f t="shared" si="28"/>
        <v>23.489615983321869</v>
      </c>
      <c r="AC57" s="17">
        <f t="shared" si="29"/>
        <v>22.333008595796073</v>
      </c>
      <c r="AD57" s="17">
        <f t="shared" si="30"/>
        <v>0.40958239252079359</v>
      </c>
      <c r="AE57" s="17">
        <f t="shared" si="31"/>
        <v>10.304149355746132</v>
      </c>
      <c r="AF57" s="19">
        <f t="shared" si="32"/>
        <v>72.284004571309765</v>
      </c>
      <c r="AG57" s="19">
        <f t="shared" si="33"/>
        <v>13.512728447229719</v>
      </c>
      <c r="AH57" s="19">
        <f t="shared" si="34"/>
        <v>0</v>
      </c>
      <c r="AI57" s="24">
        <f t="shared" si="35"/>
        <v>-0.54548457130977113</v>
      </c>
    </row>
    <row r="58" spans="1:35" x14ac:dyDescent="0.35">
      <c r="A58">
        <v>55</v>
      </c>
      <c r="B58" t="s">
        <v>44</v>
      </c>
      <c r="C58">
        <v>100</v>
      </c>
      <c r="D58" s="15">
        <v>43704</v>
      </c>
      <c r="E58">
        <v>305.83832000000001</v>
      </c>
      <c r="F58">
        <v>27.175540000000002</v>
      </c>
      <c r="G58">
        <v>97.690100000000001</v>
      </c>
      <c r="H58">
        <v>2.1248</v>
      </c>
      <c r="I58" s="5">
        <f t="shared" si="19"/>
        <v>432.82876000000005</v>
      </c>
      <c r="J58">
        <v>49.156649999999999</v>
      </c>
      <c r="K58">
        <v>345.94463999999999</v>
      </c>
      <c r="L58">
        <v>10.75184</v>
      </c>
      <c r="M58">
        <v>0</v>
      </c>
      <c r="N58" s="2">
        <f t="shared" si="16"/>
        <v>405.85313000000002</v>
      </c>
      <c r="O58" s="2"/>
      <c r="P58" s="14">
        <v>0.95013653463218839</v>
      </c>
      <c r="Q58">
        <f t="shared" si="20"/>
        <v>0.70660350758577128</v>
      </c>
      <c r="R58">
        <f t="shared" si="21"/>
        <v>6.2785892508621655E-2</v>
      </c>
      <c r="S58">
        <f t="shared" si="22"/>
        <v>0.22570149913328308</v>
      </c>
      <c r="T58">
        <f t="shared" si="23"/>
        <v>4.9091007723239093E-3</v>
      </c>
      <c r="U58">
        <f t="shared" si="24"/>
        <v>0.12111930737111723</v>
      </c>
      <c r="V58">
        <f t="shared" si="25"/>
        <v>0.8523887446673134</v>
      </c>
      <c r="W58">
        <f t="shared" si="26"/>
        <v>2.649194796156925E-2</v>
      </c>
      <c r="X58">
        <f t="shared" si="17"/>
        <v>0</v>
      </c>
      <c r="Y58" s="1">
        <f t="shared" si="18"/>
        <v>1.2789769243681803E-13</v>
      </c>
      <c r="Z58" s="1"/>
      <c r="AA58" s="17">
        <f t="shared" si="27"/>
        <v>295.06250452858103</v>
      </c>
      <c r="AB58" s="19">
        <f t="shared" si="28"/>
        <v>27.090460934258456</v>
      </c>
      <c r="AC58" s="17">
        <f t="shared" si="29"/>
        <v>96.590670324050052</v>
      </c>
      <c r="AD58" s="17">
        <f t="shared" si="30"/>
        <v>2.1242798813072161</v>
      </c>
      <c r="AE58" s="17">
        <f t="shared" si="31"/>
        <v>10.766042969148163</v>
      </c>
      <c r="AF58" s="19">
        <f t="shared" si="32"/>
        <v>360.6483446315562</v>
      </c>
      <c r="AG58" s="19">
        <f t="shared" si="33"/>
        <v>49.453528067492229</v>
      </c>
      <c r="AH58" s="19">
        <f t="shared" si="34"/>
        <v>0</v>
      </c>
      <c r="AI58" s="2"/>
    </row>
    <row r="59" spans="1:35" x14ac:dyDescent="0.35"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2"/>
    </row>
    <row r="60" spans="1:35" x14ac:dyDescent="0.35">
      <c r="U60" t="s">
        <v>45</v>
      </c>
      <c r="V60">
        <f>AVERAGE(V4:V58)</f>
        <v>0.75537174936015583</v>
      </c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2"/>
    </row>
    <row r="61" spans="1:35" x14ac:dyDescent="0.35">
      <c r="U61" t="s">
        <v>46</v>
      </c>
      <c r="V61">
        <f>_xlfn.STDEV.S(V4:V58)</f>
        <v>0.13082004112532095</v>
      </c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2"/>
    </row>
    <row r="62" spans="1:35" x14ac:dyDescent="0.35">
      <c r="U62" t="s">
        <v>47</v>
      </c>
      <c r="V62">
        <f>MIN(V4:V58)</f>
        <v>0.411746299139372</v>
      </c>
    </row>
    <row r="63" spans="1:35" x14ac:dyDescent="0.35">
      <c r="U63" t="s">
        <v>48</v>
      </c>
      <c r="V63">
        <f>MAX(V4:V58)</f>
        <v>0.96709736761420872</v>
      </c>
    </row>
    <row r="64" spans="1:35" x14ac:dyDescent="0.35">
      <c r="U64" t="s">
        <v>49</v>
      </c>
      <c r="V64">
        <f>_xlfn.CONFIDENCE.NORM(0.05,V61,COUNT(V4:V58))</f>
        <v>3.4573315359321004E-2</v>
      </c>
    </row>
    <row r="65" spans="21:22" x14ac:dyDescent="0.35">
      <c r="U65" t="s">
        <v>50</v>
      </c>
      <c r="V65">
        <f>_xlfn.CONFIDENCE.T(0.05,V61,COUNT(V4:V58))</f>
        <v>3.5365611018695849E-2</v>
      </c>
    </row>
    <row r="66" spans="21:22" x14ac:dyDescent="0.35">
      <c r="U66" t="s">
        <v>51</v>
      </c>
      <c r="V66">
        <f>COUNTIF(V4:V58,"&gt;"&amp;V60)</f>
        <v>34</v>
      </c>
    </row>
    <row r="67" spans="21:22" x14ac:dyDescent="0.35">
      <c r="U67" s="23"/>
    </row>
  </sheetData>
  <mergeCells count="2">
    <mergeCell ref="E1:N1"/>
    <mergeCell ref="AA1:AG1"/>
  </mergeCells>
  <conditionalFormatting sqref="V4:V58">
    <cfRule type="cellIs" dxfId="1" priority="1" operator="greaterThan">
      <formula>$V$60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solver">
                <anchor moveWithCells="1" sizeWithCells="1">
                  <from>
                    <xdr:col>16</xdr:col>
                    <xdr:colOff>85725</xdr:colOff>
                    <xdr:row>2</xdr:row>
                    <xdr:rowOff>123825</xdr:rowOff>
                  </from>
                  <to>
                    <xdr:col>19</xdr:col>
                    <xdr:colOff>614363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CF80B-D351-4829-BE58-7F9745345D2D}">
  <sheetPr codeName="Sheet5"/>
  <dimension ref="A1:AQ67"/>
  <sheetViews>
    <sheetView tabSelected="1" topLeftCell="J1" zoomScaleNormal="100" workbookViewId="0">
      <selection activeCell="K4" sqref="K4"/>
    </sheetView>
  </sheetViews>
  <sheetFormatPr defaultRowHeight="12.75" x14ac:dyDescent="0.35"/>
  <cols>
    <col min="1" max="1" width="5.53125" bestFit="1" customWidth="1"/>
    <col min="2" max="2" width="8.796875" bestFit="1" customWidth="1"/>
    <col min="3" max="3" width="6.265625" bestFit="1" customWidth="1"/>
    <col min="4" max="4" width="9.1328125" bestFit="1" customWidth="1"/>
    <col min="17" max="25" width="9.265625" customWidth="1"/>
    <col min="26" max="26" width="10.73046875" bestFit="1" customWidth="1"/>
    <col min="27" max="35" width="9.265625" customWidth="1"/>
    <col min="36" max="37" width="9.265625" style="20" customWidth="1"/>
  </cols>
  <sheetData>
    <row r="1" spans="1:43" x14ac:dyDescent="0.35">
      <c r="E1" s="31" t="s">
        <v>27</v>
      </c>
      <c r="F1" s="32"/>
      <c r="G1" s="32"/>
      <c r="H1" s="32"/>
      <c r="I1" s="32"/>
      <c r="J1" s="32"/>
      <c r="K1" s="32"/>
      <c r="L1" s="32"/>
      <c r="M1" s="32"/>
      <c r="N1" s="32"/>
      <c r="O1" s="28"/>
      <c r="P1" s="25"/>
      <c r="Q1" s="22" t="s">
        <v>28</v>
      </c>
      <c r="R1" s="22"/>
      <c r="S1" s="22"/>
      <c r="T1" s="22"/>
      <c r="U1" s="22"/>
      <c r="V1" s="22"/>
      <c r="W1" s="22"/>
      <c r="X1" s="22"/>
      <c r="Y1" s="22"/>
      <c r="AB1" s="33" t="s">
        <v>26</v>
      </c>
      <c r="AC1" s="33"/>
      <c r="AD1" s="33"/>
      <c r="AE1" s="33"/>
      <c r="AF1" s="33"/>
      <c r="AG1" s="33"/>
      <c r="AH1" s="33"/>
      <c r="AI1" s="26"/>
      <c r="AJ1" s="21"/>
      <c r="AK1" s="21"/>
    </row>
    <row r="2" spans="1:43" ht="13.15" x14ac:dyDescent="0.4">
      <c r="Q2" s="13" t="s">
        <v>14</v>
      </c>
      <c r="R2" s="13" t="s">
        <v>25</v>
      </c>
      <c r="S2" s="13" t="s">
        <v>24</v>
      </c>
      <c r="T2" s="13" t="s">
        <v>23</v>
      </c>
      <c r="U2" s="13" t="s">
        <v>22</v>
      </c>
      <c r="V2" s="13" t="s">
        <v>21</v>
      </c>
      <c r="W2" s="13" t="s">
        <v>20</v>
      </c>
      <c r="X2" s="13" t="s">
        <v>19</v>
      </c>
      <c r="Y2" s="13" t="s">
        <v>57</v>
      </c>
      <c r="Z2" s="13" t="s">
        <v>18</v>
      </c>
      <c r="AA2" s="13"/>
      <c r="AB2" s="16" t="s">
        <v>17</v>
      </c>
      <c r="AC2" s="16" t="s">
        <v>16</v>
      </c>
      <c r="AD2" s="16" t="s">
        <v>15</v>
      </c>
      <c r="AE2" s="16" t="s">
        <v>14</v>
      </c>
      <c r="AF2" s="16" t="s">
        <v>13</v>
      </c>
      <c r="AG2" s="16" t="s">
        <v>12</v>
      </c>
      <c r="AH2" s="16" t="s">
        <v>11</v>
      </c>
      <c r="AI2" s="16" t="s">
        <v>58</v>
      </c>
      <c r="AJ2" s="16" t="s">
        <v>17</v>
      </c>
      <c r="AK2" s="16" t="s">
        <v>16</v>
      </c>
      <c r="AL2" s="16" t="s">
        <v>15</v>
      </c>
      <c r="AM2" s="16" t="s">
        <v>14</v>
      </c>
      <c r="AN2" s="16" t="s">
        <v>13</v>
      </c>
      <c r="AO2" s="16" t="s">
        <v>12</v>
      </c>
      <c r="AP2" s="16" t="s">
        <v>11</v>
      </c>
      <c r="AQ2" s="16" t="s">
        <v>58</v>
      </c>
    </row>
    <row r="3" spans="1:43" ht="13.15" x14ac:dyDescent="0.4">
      <c r="A3" s="13" t="s">
        <v>32</v>
      </c>
      <c r="B3" s="13" t="s">
        <v>31</v>
      </c>
      <c r="C3" s="13" t="s">
        <v>29</v>
      </c>
      <c r="D3" s="13" t="s">
        <v>30</v>
      </c>
      <c r="E3" s="12" t="s">
        <v>9</v>
      </c>
      <c r="F3" s="12" t="s">
        <v>8</v>
      </c>
      <c r="G3" s="12" t="s">
        <v>7</v>
      </c>
      <c r="H3" s="12" t="s">
        <v>6</v>
      </c>
      <c r="I3" s="11" t="s">
        <v>5</v>
      </c>
      <c r="J3" s="12" t="s">
        <v>4</v>
      </c>
      <c r="K3" s="12" t="s">
        <v>3</v>
      </c>
      <c r="L3" s="11" t="s">
        <v>2</v>
      </c>
      <c r="M3" s="11" t="s">
        <v>56</v>
      </c>
      <c r="N3" s="11" t="s">
        <v>1</v>
      </c>
      <c r="O3" s="11" t="s">
        <v>59</v>
      </c>
      <c r="P3" s="11"/>
      <c r="AB3" s="18" t="s">
        <v>0</v>
      </c>
      <c r="AC3" s="18" t="s">
        <v>0</v>
      </c>
      <c r="AD3" s="18" t="s">
        <v>0</v>
      </c>
      <c r="AE3" s="18" t="s">
        <v>0</v>
      </c>
      <c r="AF3" s="18" t="s">
        <v>0</v>
      </c>
      <c r="AG3" s="18" t="s">
        <v>0</v>
      </c>
      <c r="AH3" s="18" t="s">
        <v>0</v>
      </c>
      <c r="AI3" s="18" t="s">
        <v>0</v>
      </c>
      <c r="AJ3" s="16" t="s">
        <v>53</v>
      </c>
      <c r="AK3" s="16" t="s">
        <v>53</v>
      </c>
      <c r="AL3" s="16" t="s">
        <v>53</v>
      </c>
      <c r="AM3" s="16" t="s">
        <v>53</v>
      </c>
      <c r="AN3" s="16" t="s">
        <v>53</v>
      </c>
      <c r="AO3" s="16" t="s">
        <v>53</v>
      </c>
      <c r="AP3" s="16" t="s">
        <v>53</v>
      </c>
      <c r="AQ3" s="16" t="s">
        <v>53</v>
      </c>
    </row>
    <row r="4" spans="1:43" x14ac:dyDescent="0.35">
      <c r="A4">
        <v>1</v>
      </c>
      <c r="B4" t="s">
        <v>36</v>
      </c>
      <c r="C4">
        <v>15</v>
      </c>
      <c r="D4" s="15">
        <v>43336</v>
      </c>
      <c r="E4">
        <v>106.22163999999999</v>
      </c>
      <c r="F4">
        <v>28.991900000000001</v>
      </c>
      <c r="G4">
        <v>40.573900000000002</v>
      </c>
      <c r="H4">
        <v>1.6896</v>
      </c>
      <c r="I4" s="5">
        <f>SUM(E4:H4)</f>
        <v>177.47704000000002</v>
      </c>
      <c r="J4">
        <v>30.648959999999999</v>
      </c>
      <c r="K4">
        <v>113.16939000000001</v>
      </c>
      <c r="L4">
        <v>2.44211</v>
      </c>
      <c r="M4">
        <v>17.311639888312001</v>
      </c>
      <c r="N4" s="2">
        <f>J4+K4+L4+M4</f>
        <v>163.57209988831204</v>
      </c>
      <c r="O4" s="2">
        <f>(I4-N4)/(I4+N4)</f>
        <v>4.0771075148412966E-2</v>
      </c>
      <c r="P4" s="2"/>
      <c r="Q4" s="14">
        <v>0.91496051400182377</v>
      </c>
      <c r="R4">
        <f t="shared" ref="R4:R35" si="0">E4/I4</f>
        <v>0.59850919307646766</v>
      </c>
      <c r="S4">
        <f t="shared" ref="S4:S35" si="1">F4/I4</f>
        <v>0.1633557783023652</v>
      </c>
      <c r="T4">
        <f t="shared" ref="T4:T35" si="2">G4/I4</f>
        <v>0.22861492393607646</v>
      </c>
      <c r="U4">
        <f t="shared" ref="U4:U35" si="3">H4/I4</f>
        <v>9.5201046850905326E-3</v>
      </c>
      <c r="V4">
        <f t="shared" ref="V4:V35" si="4">J4/N4</f>
        <v>0.18737278558462772</v>
      </c>
      <c r="W4">
        <f t="shared" ref="W4:W35" si="5">K4/N4</f>
        <v>0.69186242688864852</v>
      </c>
      <c r="X4">
        <f t="shared" ref="X4:X35" si="6">L4/N4</f>
        <v>1.4929868857020768E-2</v>
      </c>
      <c r="Y4">
        <f t="shared" ref="Y4:Y35" si="7">M4/N4</f>
        <v>0.10583491866970277</v>
      </c>
      <c r="Z4" s="1">
        <f>AB4+AC4+AD4+AE4-AF4-AG4-AH4-AI4</f>
        <v>-5.3290705182007514E-14</v>
      </c>
      <c r="AA4" s="1"/>
      <c r="AB4" s="17">
        <f t="shared" ref="AB4:AB35" si="8">E4*(1-(1-Q4)*R4)</f>
        <v>100.81528630864199</v>
      </c>
      <c r="AC4" s="19">
        <f t="shared" ref="AC4:AC35" si="9">F4*(1-(1-Q4)*S4)</f>
        <v>28.589153471472226</v>
      </c>
      <c r="AD4" s="17">
        <f t="shared" ref="AD4:AD35" si="10">G4*(1-(1-Q4)*T4)</f>
        <v>39.785090815520498</v>
      </c>
      <c r="AE4" s="17">
        <f t="shared" ref="AE4:AE35" si="11">H4*(1-(1-Q4)*U4)</f>
        <v>1.6882321255065973</v>
      </c>
      <c r="AF4" s="17">
        <f t="shared" ref="AF4:AF35" si="12">L4*(1+(1-Q4)*X4)</f>
        <v>2.4452105721475044</v>
      </c>
      <c r="AG4" s="19">
        <f t="shared" ref="AG4:AG35" si="13">K4*(1+(1-Q4)*W4)</f>
        <v>119.82778181008548</v>
      </c>
      <c r="AH4" s="19">
        <f t="shared" ref="AH4:AH35" si="14">J4*(1+(1-Q4)*V4)</f>
        <v>31.137323145330608</v>
      </c>
      <c r="AI4" s="19">
        <f t="shared" ref="AI4:AI35" si="15">M4*(1+(1-Q4)*Y4)</f>
        <v>17.467447193577769</v>
      </c>
      <c r="AJ4" s="29">
        <f>E4-AB4</f>
        <v>5.4063536913580066</v>
      </c>
      <c r="AK4" s="29">
        <f t="shared" ref="AK4:AM19" si="16">F4-AC4</f>
        <v>0.40274652852777493</v>
      </c>
      <c r="AL4" s="29">
        <f t="shared" si="16"/>
        <v>0.78880918447950421</v>
      </c>
      <c r="AM4" s="29">
        <f>H4-AE4</f>
        <v>1.3678744934026987E-3</v>
      </c>
      <c r="AN4" s="29">
        <f>L4-AF4</f>
        <v>-3.1005721475043657E-3</v>
      </c>
      <c r="AO4" s="30">
        <f>K4-AG4</f>
        <v>-6.658391810085476</v>
      </c>
      <c r="AP4" s="30">
        <f>J4-AH4</f>
        <v>-0.48836314533060943</v>
      </c>
      <c r="AQ4" s="30">
        <f>M4-AI4</f>
        <v>-0.15580730526576758</v>
      </c>
    </row>
    <row r="5" spans="1:43" x14ac:dyDescent="0.35">
      <c r="A5">
        <v>2</v>
      </c>
      <c r="B5" t="s">
        <v>36</v>
      </c>
      <c r="C5">
        <v>50</v>
      </c>
      <c r="D5" s="15">
        <v>43336</v>
      </c>
      <c r="E5">
        <v>99.873559999999998</v>
      </c>
      <c r="F5">
        <v>19.96</v>
      </c>
      <c r="G5">
        <v>36.2943</v>
      </c>
      <c r="H5">
        <v>3.8912</v>
      </c>
      <c r="I5" s="5">
        <f>SUM(E5:H5)</f>
        <v>160.01906</v>
      </c>
      <c r="J5">
        <v>13.26807</v>
      </c>
      <c r="K5">
        <v>135.04088999999999</v>
      </c>
      <c r="L5">
        <v>2.8026900000000001</v>
      </c>
      <c r="M5">
        <v>1.340439991352</v>
      </c>
      <c r="N5" s="2">
        <f t="shared" ref="N5:N58" si="17">J5+K5+L5</f>
        <v>151.11165</v>
      </c>
      <c r="O5" s="2">
        <f t="shared" ref="O5:O58" si="18">(I5-N5)/(I5+N5)</f>
        <v>2.8629157179630382E-2</v>
      </c>
      <c r="P5" s="2"/>
      <c r="Q5" s="14">
        <v>0.96120677599561022</v>
      </c>
      <c r="R5">
        <f t="shared" si="0"/>
        <v>0.62413539987049038</v>
      </c>
      <c r="S5">
        <f t="shared" si="1"/>
        <v>0.12473514092633715</v>
      </c>
      <c r="T5">
        <f t="shared" si="2"/>
        <v>0.22681235597809413</v>
      </c>
      <c r="U5">
        <f t="shared" si="3"/>
        <v>2.4317103225078313E-2</v>
      </c>
      <c r="V5">
        <f t="shared" si="4"/>
        <v>8.78030912904465E-2</v>
      </c>
      <c r="W5">
        <f t="shared" si="5"/>
        <v>0.89364976161665888</v>
      </c>
      <c r="X5">
        <f t="shared" si="6"/>
        <v>1.854714709289456E-2</v>
      </c>
      <c r="Y5">
        <f t="shared" si="7"/>
        <v>8.8705271324348578E-3</v>
      </c>
      <c r="Z5" s="1">
        <f t="shared" ref="Z5:Z58" si="19">AB5+AC5+AD5+AE5-AF5-AG5-AH5-AI5</f>
        <v>3.8857805861880479E-14</v>
      </c>
      <c r="AA5" s="1"/>
      <c r="AB5" s="17">
        <f t="shared" si="8"/>
        <v>97.45539895602559</v>
      </c>
      <c r="AC5" s="19">
        <f t="shared" si="9"/>
        <v>19.863415989867036</v>
      </c>
      <c r="AD5" s="17">
        <f t="shared" si="10"/>
        <v>35.974954347133533</v>
      </c>
      <c r="AE5" s="17">
        <f t="shared" si="11"/>
        <v>3.8875292799347876</v>
      </c>
      <c r="AF5" s="17">
        <f t="shared" si="12"/>
        <v>2.8047065456338576</v>
      </c>
      <c r="AG5" s="19">
        <f t="shared" si="13"/>
        <v>139.72242753316138</v>
      </c>
      <c r="AH5" s="19">
        <f t="shared" si="14"/>
        <v>13.313263235501731</v>
      </c>
      <c r="AI5" s="19">
        <f t="shared" si="15"/>
        <v>1.340901258663971</v>
      </c>
      <c r="AJ5" s="29">
        <f t="shared" ref="AJ5:AM57" si="20">E5-AB5</f>
        <v>2.4181610439744077</v>
      </c>
      <c r="AK5" s="29">
        <f t="shared" si="16"/>
        <v>9.6584010132964693E-2</v>
      </c>
      <c r="AL5" s="29">
        <f t="shared" si="16"/>
        <v>0.31934565286646688</v>
      </c>
      <c r="AM5" s="29">
        <f t="shared" si="16"/>
        <v>3.6707200652124072E-3</v>
      </c>
      <c r="AN5" s="29">
        <f t="shared" ref="AN5:AN58" si="21">L5-AF5</f>
        <v>-2.0165456338574472E-3</v>
      </c>
      <c r="AO5" s="30">
        <f t="shared" ref="AO5:AO58" si="22">K5-AG5</f>
        <v>-4.6815375331613893</v>
      </c>
      <c r="AP5" s="30">
        <f t="shared" ref="AP5:AP58" si="23">J5-AH5</f>
        <v>-4.5193235501731266E-2</v>
      </c>
      <c r="AQ5" s="30">
        <f t="shared" ref="AQ5:AQ58" si="24">M5-AI5</f>
        <v>-4.6126731197104753E-4</v>
      </c>
    </row>
    <row r="6" spans="1:43" x14ac:dyDescent="0.35">
      <c r="A6">
        <v>3</v>
      </c>
      <c r="B6" t="s">
        <v>36</v>
      </c>
      <c r="C6">
        <v>100</v>
      </c>
      <c r="D6" s="15">
        <v>43336</v>
      </c>
      <c r="E6">
        <v>120.17872</v>
      </c>
      <c r="F6">
        <v>18.263400000000001</v>
      </c>
      <c r="G6">
        <v>42.795999999999999</v>
      </c>
      <c r="H6">
        <v>0.69120000000000004</v>
      </c>
      <c r="I6" s="5">
        <f t="shared" ref="I6:I58" si="25">SUM(E6:H6)</f>
        <v>181.92931999999999</v>
      </c>
      <c r="J6">
        <v>15.578010000000001</v>
      </c>
      <c r="K6">
        <v>150.22595999999999</v>
      </c>
      <c r="L6">
        <v>1.44232</v>
      </c>
      <c r="M6">
        <v>4.1567899731819997</v>
      </c>
      <c r="N6" s="2">
        <f t="shared" si="17"/>
        <v>167.24628999999999</v>
      </c>
      <c r="O6" s="2">
        <f t="shared" si="18"/>
        <v>4.2050560175150839E-2</v>
      </c>
      <c r="P6" s="2"/>
      <c r="Q6" s="14">
        <v>0.95379077167405035</v>
      </c>
      <c r="R6">
        <f t="shared" si="0"/>
        <v>0.66057917437387226</v>
      </c>
      <c r="S6">
        <f t="shared" si="1"/>
        <v>0.10038733723624098</v>
      </c>
      <c r="T6">
        <f t="shared" si="2"/>
        <v>0.23523421073634532</v>
      </c>
      <c r="U6">
        <f t="shared" si="3"/>
        <v>3.7992776535414967E-3</v>
      </c>
      <c r="V6">
        <f t="shared" si="4"/>
        <v>9.3144128937030543E-2</v>
      </c>
      <c r="W6">
        <f t="shared" si="5"/>
        <v>0.89823194284309682</v>
      </c>
      <c r="X6">
        <f t="shared" si="6"/>
        <v>8.6239282198726213E-3</v>
      </c>
      <c r="Y6">
        <f t="shared" si="7"/>
        <v>2.4854303035254176E-2</v>
      </c>
      <c r="Z6" s="1">
        <f>AB6+AC6+AD6+AE6-AF6-AG6-AH6-AI6</f>
        <v>1.3322676295501878E-14</v>
      </c>
      <c r="AA6" s="1"/>
      <c r="AB6" s="17">
        <f t="shared" si="8"/>
        <v>116.51028213059055</v>
      </c>
      <c r="AC6" s="19">
        <f t="shared" si="9"/>
        <v>18.178679349473658</v>
      </c>
      <c r="AD6" s="17">
        <f t="shared" si="10"/>
        <v>42.330807850014629</v>
      </c>
      <c r="AE6" s="17">
        <f>H6*(1-(1-Q6)*U6)</f>
        <v>0.69107865176086314</v>
      </c>
      <c r="AF6" s="17">
        <f t="shared" si="12"/>
        <v>1.4428947718299356</v>
      </c>
      <c r="AG6" s="19">
        <f t="shared" si="13"/>
        <v>156.46132957292613</v>
      </c>
      <c r="AH6" s="19">
        <f t="shared" si="14"/>
        <v>15.645059598249972</v>
      </c>
      <c r="AI6" s="19">
        <f t="shared" si="15"/>
        <v>4.161564038833661</v>
      </c>
      <c r="AJ6" s="29">
        <f t="shared" si="20"/>
        <v>3.6684378694094448</v>
      </c>
      <c r="AK6" s="29">
        <f t="shared" si="16"/>
        <v>8.4720650526342922E-2</v>
      </c>
      <c r="AL6" s="29">
        <f t="shared" si="16"/>
        <v>0.46519214998536995</v>
      </c>
      <c r="AM6" s="29">
        <f t="shared" si="16"/>
        <v>1.2134823913689807E-4</v>
      </c>
      <c r="AN6" s="29">
        <f t="shared" si="21"/>
        <v>-5.7477182993559417E-4</v>
      </c>
      <c r="AO6" s="30">
        <f t="shared" si="22"/>
        <v>-6.235369572926146</v>
      </c>
      <c r="AP6" s="30">
        <f t="shared" si="23"/>
        <v>-6.7049598249971254E-2</v>
      </c>
      <c r="AQ6" s="30">
        <f t="shared" si="24"/>
        <v>-4.7740656516612745E-3</v>
      </c>
    </row>
    <row r="7" spans="1:43" x14ac:dyDescent="0.35">
      <c r="A7">
        <v>4</v>
      </c>
      <c r="B7" t="s">
        <v>33</v>
      </c>
      <c r="C7">
        <v>15</v>
      </c>
      <c r="D7" s="15">
        <v>43337</v>
      </c>
      <c r="E7">
        <v>3.34796</v>
      </c>
      <c r="F7">
        <v>10.478999999999999</v>
      </c>
      <c r="G7">
        <v>4.2796000000000003</v>
      </c>
      <c r="H7">
        <v>0.128</v>
      </c>
      <c r="I7" s="5">
        <f t="shared" si="25"/>
        <v>18.234560000000002</v>
      </c>
      <c r="J7">
        <v>0.47888999999999998</v>
      </c>
      <c r="K7">
        <v>13.872780000000001</v>
      </c>
      <c r="L7">
        <v>1.98319</v>
      </c>
      <c r="M7">
        <v>7.1299999540000006E-2</v>
      </c>
      <c r="N7" s="2">
        <f t="shared" si="17"/>
        <v>16.334859999999999</v>
      </c>
      <c r="O7" s="2">
        <f t="shared" si="18"/>
        <v>5.4953192735082125E-2</v>
      </c>
      <c r="P7" s="2"/>
      <c r="Q7" s="14">
        <v>0.90708871385646006</v>
      </c>
      <c r="R7">
        <f t="shared" si="0"/>
        <v>0.18360519804152114</v>
      </c>
      <c r="S7">
        <f t="shared" si="1"/>
        <v>0.57467797413263599</v>
      </c>
      <c r="T7">
        <f t="shared" si="2"/>
        <v>0.23469719039011636</v>
      </c>
      <c r="U7">
        <f t="shared" si="3"/>
        <v>7.0196374357264441E-3</v>
      </c>
      <c r="V7">
        <f t="shared" si="4"/>
        <v>2.9317055671122985E-2</v>
      </c>
      <c r="W7">
        <f t="shared" si="5"/>
        <v>0.84927449638380748</v>
      </c>
      <c r="X7">
        <f t="shared" si="6"/>
        <v>0.12140844794506964</v>
      </c>
      <c r="Y7">
        <f t="shared" si="7"/>
        <v>4.3648981099317658E-3</v>
      </c>
      <c r="Z7" s="1">
        <f t="shared" si="19"/>
        <v>-7.0776717819853729E-15</v>
      </c>
      <c r="AA7" s="1"/>
      <c r="AB7" s="17">
        <f t="shared" si="8"/>
        <v>3.2908471667895212</v>
      </c>
      <c r="AC7" s="19">
        <f t="shared" si="9"/>
        <v>9.9194835436658106</v>
      </c>
      <c r="AD7" s="17">
        <f t="shared" si="10"/>
        <v>4.1862789661656841</v>
      </c>
      <c r="AE7" s="17">
        <f t="shared" si="11"/>
        <v>0.12791651794657091</v>
      </c>
      <c r="AF7" s="17">
        <f t="shared" si="12"/>
        <v>2.0055608096795905</v>
      </c>
      <c r="AG7" s="19">
        <f t="shared" si="13"/>
        <v>14.967442028300123</v>
      </c>
      <c r="AH7" s="19">
        <f t="shared" si="14"/>
        <v>0.48019444145446927</v>
      </c>
      <c r="AI7" s="19">
        <f t="shared" si="15"/>
        <v>7.1328915133409471E-2</v>
      </c>
      <c r="AJ7" s="29">
        <f t="shared" si="20"/>
        <v>5.7112833210478886E-2</v>
      </c>
      <c r="AK7" s="29">
        <f t="shared" si="16"/>
        <v>0.55951645633418856</v>
      </c>
      <c r="AL7" s="29">
        <f t="shared" si="16"/>
        <v>9.3321033834316225E-2</v>
      </c>
      <c r="AM7" s="29">
        <f t="shared" si="16"/>
        <v>8.3482053429090319E-5</v>
      </c>
      <c r="AN7" s="29">
        <f t="shared" si="21"/>
        <v>-2.2370809679590486E-2</v>
      </c>
      <c r="AO7" s="30">
        <f t="shared" si="22"/>
        <v>-1.0946620283001227</v>
      </c>
      <c r="AP7" s="30">
        <f t="shared" si="23"/>
        <v>-1.3044414544692851E-3</v>
      </c>
      <c r="AQ7" s="30">
        <f t="shared" si="24"/>
        <v>-2.8915593409464813E-5</v>
      </c>
    </row>
    <row r="8" spans="1:43" x14ac:dyDescent="0.35">
      <c r="A8">
        <v>5</v>
      </c>
      <c r="B8" t="s">
        <v>33</v>
      </c>
      <c r="C8">
        <v>50</v>
      </c>
      <c r="D8" s="15">
        <v>43336</v>
      </c>
      <c r="E8">
        <v>25.1097</v>
      </c>
      <c r="F8">
        <v>9.0817999999999994</v>
      </c>
      <c r="G8">
        <v>11.72775</v>
      </c>
      <c r="H8">
        <v>0.16639999999999999</v>
      </c>
      <c r="I8" s="5">
        <f t="shared" si="25"/>
        <v>46.085650000000001</v>
      </c>
      <c r="J8">
        <v>3.3099750000000001</v>
      </c>
      <c r="K8">
        <v>38.243879999999997</v>
      </c>
      <c r="L8">
        <v>1.8110949999999999</v>
      </c>
      <c r="M8">
        <v>0.42066999728600002</v>
      </c>
      <c r="N8" s="2">
        <f t="shared" si="17"/>
        <v>43.36495</v>
      </c>
      <c r="O8" s="2">
        <f t="shared" si="18"/>
        <v>3.0415670772471069E-2</v>
      </c>
      <c r="P8" s="2"/>
      <c r="Q8" s="14">
        <v>0.95620296493676715</v>
      </c>
      <c r="R8">
        <f t="shared" si="0"/>
        <v>0.54484855915019104</v>
      </c>
      <c r="S8">
        <f t="shared" si="1"/>
        <v>0.19706351109293238</v>
      </c>
      <c r="T8">
        <f t="shared" si="2"/>
        <v>0.25447726136009802</v>
      </c>
      <c r="U8">
        <f t="shared" si="3"/>
        <v>3.6106683967786065E-3</v>
      </c>
      <c r="V8">
        <f t="shared" si="4"/>
        <v>7.6328348124464582E-2</v>
      </c>
      <c r="W8">
        <f t="shared" si="5"/>
        <v>0.88190762355312291</v>
      </c>
      <c r="X8">
        <f t="shared" si="6"/>
        <v>4.1764028322412453E-2</v>
      </c>
      <c r="Y8">
        <f t="shared" si="7"/>
        <v>9.7006913944556617E-3</v>
      </c>
      <c r="Z8" s="1">
        <f t="shared" si="19"/>
        <v>3.6637359812630166E-15</v>
      </c>
      <c r="AA8" s="1"/>
      <c r="AB8" s="17">
        <f t="shared" si="8"/>
        <v>24.510513469934697</v>
      </c>
      <c r="AC8" s="19">
        <f t="shared" si="9"/>
        <v>9.0034168232189007</v>
      </c>
      <c r="AD8" s="17">
        <f t="shared" si="10"/>
        <v>11.597040126948876</v>
      </c>
      <c r="AE8" s="17">
        <f t="shared" si="11"/>
        <v>0.16637368607468953</v>
      </c>
      <c r="AF8" s="17">
        <f t="shared" si="12"/>
        <v>1.8144077474181726</v>
      </c>
      <c r="AG8" s="19">
        <f t="shared" si="13"/>
        <v>39.721047536379423</v>
      </c>
      <c r="AH8" s="19">
        <f t="shared" si="14"/>
        <v>3.321040098598623</v>
      </c>
      <c r="AI8" s="19">
        <f t="shared" si="15"/>
        <v>0.42084872378094518</v>
      </c>
      <c r="AJ8" s="29">
        <f t="shared" si="20"/>
        <v>0.5991865300653032</v>
      </c>
      <c r="AK8" s="29">
        <f t="shared" si="16"/>
        <v>7.838317678109874E-2</v>
      </c>
      <c r="AL8" s="29">
        <f t="shared" si="16"/>
        <v>0.13070987305112425</v>
      </c>
      <c r="AM8" s="29">
        <f t="shared" si="16"/>
        <v>2.6313925310467168E-5</v>
      </c>
      <c r="AN8" s="29">
        <f t="shared" si="21"/>
        <v>-3.3127474181726679E-3</v>
      </c>
      <c r="AO8" s="30">
        <f t="shared" si="22"/>
        <v>-1.4771675363794259</v>
      </c>
      <c r="AP8" s="30">
        <f t="shared" si="23"/>
        <v>-1.1065098598622924E-2</v>
      </c>
      <c r="AQ8" s="30">
        <f t="shared" si="24"/>
        <v>-1.7872649494515835E-4</v>
      </c>
    </row>
    <row r="9" spans="1:43" x14ac:dyDescent="0.35">
      <c r="A9">
        <v>6</v>
      </c>
      <c r="B9" t="s">
        <v>33</v>
      </c>
      <c r="C9">
        <v>100</v>
      </c>
      <c r="D9" s="15">
        <v>43336</v>
      </c>
      <c r="E9">
        <v>5.7393599999999996</v>
      </c>
      <c r="F9">
        <v>11.0778</v>
      </c>
      <c r="G9">
        <v>5.5141</v>
      </c>
      <c r="H9">
        <v>0.74239999999999995</v>
      </c>
      <c r="I9" s="5">
        <f t="shared" si="25"/>
        <v>23.07366</v>
      </c>
      <c r="J9">
        <v>0.95777999999999996</v>
      </c>
      <c r="K9">
        <v>15.56001</v>
      </c>
      <c r="L9">
        <v>2.6387900000000002</v>
      </c>
      <c r="M9">
        <v>1.2905299916740001</v>
      </c>
      <c r="N9" s="2">
        <f t="shared" si="17"/>
        <v>19.156580000000002</v>
      </c>
      <c r="O9" s="2">
        <f t="shared" si="18"/>
        <v>9.275533361875278E-2</v>
      </c>
      <c r="P9" s="2"/>
      <c r="Q9" s="14">
        <v>0.87625068778642545</v>
      </c>
      <c r="R9">
        <f t="shared" si="0"/>
        <v>0.24874077194515301</v>
      </c>
      <c r="S9">
        <f t="shared" si="1"/>
        <v>0.48010588697241791</v>
      </c>
      <c r="T9">
        <f t="shared" si="2"/>
        <v>0.23897812484018574</v>
      </c>
      <c r="U9">
        <f t="shared" si="3"/>
        <v>3.2175216242243315E-2</v>
      </c>
      <c r="V9">
        <f t="shared" si="4"/>
        <v>4.9997442132155109E-2</v>
      </c>
      <c r="W9">
        <f t="shared" si="5"/>
        <v>0.81225406622685259</v>
      </c>
      <c r="X9">
        <f t="shared" si="6"/>
        <v>0.13774849164099229</v>
      </c>
      <c r="Y9">
        <f t="shared" si="7"/>
        <v>6.7367452419690776E-2</v>
      </c>
      <c r="Z9" s="1">
        <f t="shared" si="19"/>
        <v>1.8598212347953336E-7</v>
      </c>
      <c r="AA9" s="1"/>
      <c r="AB9" s="17">
        <f t="shared" si="8"/>
        <v>5.5626938933299268</v>
      </c>
      <c r="AC9" s="19">
        <f t="shared" si="9"/>
        <v>10.419637179909289</v>
      </c>
      <c r="AD9" s="17">
        <f t="shared" si="10"/>
        <v>5.3510294331551336</v>
      </c>
      <c r="AE9" s="17">
        <f t="shared" si="11"/>
        <v>0.73944401496246481</v>
      </c>
      <c r="AF9" s="17">
        <f t="shared" si="12"/>
        <v>2.68377155610131</v>
      </c>
      <c r="AG9" s="19">
        <f t="shared" si="13"/>
        <v>17.124038129674027</v>
      </c>
      <c r="AH9" s="19">
        <f t="shared" si="14"/>
        <v>0.96370592764229102</v>
      </c>
      <c r="AI9" s="19">
        <f t="shared" si="15"/>
        <v>1.3012887219570648</v>
      </c>
      <c r="AJ9" s="29">
        <f t="shared" si="20"/>
        <v>0.17666610667007276</v>
      </c>
      <c r="AK9" s="29">
        <f t="shared" si="16"/>
        <v>0.65816282009071081</v>
      </c>
      <c r="AL9" s="29">
        <f t="shared" si="16"/>
        <v>0.16307056684486643</v>
      </c>
      <c r="AM9" s="29">
        <f t="shared" si="16"/>
        <v>2.955985037535136E-3</v>
      </c>
      <c r="AN9" s="29">
        <f t="shared" si="21"/>
        <v>-4.4981556101309828E-2</v>
      </c>
      <c r="AO9" s="30">
        <f t="shared" si="22"/>
        <v>-1.5640281296740266</v>
      </c>
      <c r="AP9" s="30">
        <f t="shared" si="23"/>
        <v>-5.9259276422910512E-3</v>
      </c>
      <c r="AQ9" s="30">
        <f t="shared" si="24"/>
        <v>-1.0758730283064732E-2</v>
      </c>
    </row>
    <row r="10" spans="1:43" x14ac:dyDescent="0.35">
      <c r="A10">
        <v>7</v>
      </c>
      <c r="B10" t="s">
        <v>34</v>
      </c>
      <c r="C10">
        <v>15</v>
      </c>
      <c r="D10" s="15">
        <v>43337</v>
      </c>
      <c r="E10">
        <v>3.6305800000000001</v>
      </c>
      <c r="F10">
        <v>5.9131499999999999</v>
      </c>
      <c r="G10">
        <v>4.3207500000000003</v>
      </c>
      <c r="H10">
        <v>0.47360000000000002</v>
      </c>
      <c r="I10" s="5">
        <f t="shared" si="25"/>
        <v>14.33808</v>
      </c>
      <c r="J10">
        <v>0.74650499999999997</v>
      </c>
      <c r="K10">
        <v>8.5611300000000004</v>
      </c>
      <c r="L10">
        <v>2.483085</v>
      </c>
      <c r="M10">
        <v>1.1265399927319999</v>
      </c>
      <c r="N10" s="2">
        <f t="shared" si="17"/>
        <v>11.79072</v>
      </c>
      <c r="O10" s="2">
        <f t="shared" si="18"/>
        <v>9.7492422154863576E-2</v>
      </c>
      <c r="P10" s="2"/>
      <c r="Q10" s="14">
        <v>0.87719387848512798</v>
      </c>
      <c r="R10">
        <f t="shared" si="0"/>
        <v>0.25321242453661857</v>
      </c>
      <c r="S10">
        <f t="shared" si="1"/>
        <v>0.41240877439657192</v>
      </c>
      <c r="T10">
        <f t="shared" si="2"/>
        <v>0.30134787921395334</v>
      </c>
      <c r="U10">
        <f t="shared" si="3"/>
        <v>3.3030921852856172E-2</v>
      </c>
      <c r="V10">
        <f t="shared" si="4"/>
        <v>6.3312927454811915E-2</v>
      </c>
      <c r="W10">
        <f t="shared" si="5"/>
        <v>0.72609051864517182</v>
      </c>
      <c r="X10">
        <f t="shared" si="6"/>
        <v>0.21059655390001628</v>
      </c>
      <c r="Y10">
        <f t="shared" si="7"/>
        <v>9.5544631093945051E-2</v>
      </c>
      <c r="Z10" s="1">
        <f t="shared" si="19"/>
        <v>1.01487977355319E-7</v>
      </c>
      <c r="AA10" s="1"/>
      <c r="AB10" s="17">
        <f t="shared" si="8"/>
        <v>3.5176833544297583</v>
      </c>
      <c r="AC10" s="19">
        <f t="shared" si="9"/>
        <v>5.6136707006970452</v>
      </c>
      <c r="AD10" s="17">
        <f t="shared" si="10"/>
        <v>4.1608504308174448</v>
      </c>
      <c r="AE10" s="17">
        <f t="shared" si="11"/>
        <v>0.47167888924282914</v>
      </c>
      <c r="AF10" s="17">
        <f t="shared" si="12"/>
        <v>2.547303900006745</v>
      </c>
      <c r="AG10" s="19">
        <f t="shared" si="13"/>
        <v>9.3245119258151874</v>
      </c>
      <c r="AH10" s="19">
        <f t="shared" si="14"/>
        <v>0.75230923692021501</v>
      </c>
      <c r="AI10" s="19">
        <f t="shared" si="15"/>
        <v>1.1397582109569522</v>
      </c>
      <c r="AJ10" s="29">
        <f t="shared" si="20"/>
        <v>0.11289664557024182</v>
      </c>
      <c r="AK10" s="29">
        <f t="shared" si="16"/>
        <v>0.29947929930295469</v>
      </c>
      <c r="AL10" s="29">
        <f t="shared" si="16"/>
        <v>0.15989956918255555</v>
      </c>
      <c r="AM10" s="29">
        <f t="shared" si="16"/>
        <v>1.9211107571708852E-3</v>
      </c>
      <c r="AN10" s="29">
        <f t="shared" si="21"/>
        <v>-6.4218900006745017E-2</v>
      </c>
      <c r="AO10" s="30">
        <f t="shared" si="22"/>
        <v>-0.76338192581518705</v>
      </c>
      <c r="AP10" s="30">
        <f t="shared" si="23"/>
        <v>-5.8042369202150335E-3</v>
      </c>
      <c r="AQ10" s="30">
        <f t="shared" si="24"/>
        <v>-1.3218218224952283E-2</v>
      </c>
    </row>
    <row r="11" spans="1:43" x14ac:dyDescent="0.35">
      <c r="A11">
        <v>8</v>
      </c>
      <c r="B11" t="s">
        <v>34</v>
      </c>
      <c r="C11">
        <v>50</v>
      </c>
      <c r="D11" s="15">
        <v>43336</v>
      </c>
      <c r="E11">
        <v>8.2612000000000005</v>
      </c>
      <c r="F11">
        <v>28.642600000000002</v>
      </c>
      <c r="G11">
        <v>12.591900000000001</v>
      </c>
      <c r="H11">
        <v>0.1024</v>
      </c>
      <c r="I11" s="5">
        <f t="shared" si="25"/>
        <v>49.598100000000009</v>
      </c>
      <c r="J11">
        <v>0.45072000000000001</v>
      </c>
      <c r="K11">
        <v>44.805329999999998</v>
      </c>
      <c r="L11">
        <v>1.1964699999999999</v>
      </c>
      <c r="M11">
        <v>0.21389999862</v>
      </c>
      <c r="N11" s="2">
        <f t="shared" si="17"/>
        <v>46.452519999999993</v>
      </c>
      <c r="O11" s="2">
        <f t="shared" si="18"/>
        <v>3.2749189958378368E-2</v>
      </c>
      <c r="P11" s="2"/>
      <c r="Q11" s="14">
        <v>0.95445346709551593</v>
      </c>
      <c r="R11">
        <f t="shared" si="0"/>
        <v>0.16656283204396941</v>
      </c>
      <c r="S11">
        <f t="shared" si="1"/>
        <v>0.57749389593552969</v>
      </c>
      <c r="T11">
        <f t="shared" si="2"/>
        <v>0.25387867680415172</v>
      </c>
      <c r="U11">
        <f>H11/I11</f>
        <v>2.0645952163490132E-3</v>
      </c>
      <c r="V11">
        <f t="shared" si="4"/>
        <v>9.7028105256722359E-3</v>
      </c>
      <c r="W11">
        <f t="shared" si="5"/>
        <v>0.96454035217034517</v>
      </c>
      <c r="X11">
        <f t="shared" si="6"/>
        <v>2.5756837303982649E-2</v>
      </c>
      <c r="Y11">
        <f t="shared" si="7"/>
        <v>4.6047017173664641E-3</v>
      </c>
      <c r="Z11" s="1">
        <f t="shared" si="19"/>
        <v>6.1435005979659785E-7</v>
      </c>
      <c r="AA11" s="1"/>
      <c r="AB11" s="17">
        <f t="shared" si="8"/>
        <v>8.1985275668130591</v>
      </c>
      <c r="AC11" s="19">
        <f t="shared" si="9"/>
        <v>27.889218139440082</v>
      </c>
      <c r="AD11" s="17">
        <f t="shared" si="10"/>
        <v>12.446296164491635</v>
      </c>
      <c r="AE11" s="17">
        <f t="shared" si="11"/>
        <v>0.10239037080023491</v>
      </c>
      <c r="AF11" s="17">
        <f t="shared" si="12"/>
        <v>1.197873620400066</v>
      </c>
      <c r="AG11" s="19">
        <f t="shared" si="13"/>
        <v>46.77369396090392</v>
      </c>
      <c r="AH11" s="19">
        <f t="shared" si="14"/>
        <v>0.4509191864096459</v>
      </c>
      <c r="AI11" s="19">
        <f t="shared" si="15"/>
        <v>0.21394485948132383</v>
      </c>
      <c r="AJ11" s="29">
        <f t="shared" si="20"/>
        <v>6.267243318694149E-2</v>
      </c>
      <c r="AK11" s="29">
        <f t="shared" si="16"/>
        <v>0.7533818605599194</v>
      </c>
      <c r="AL11" s="29">
        <f t="shared" si="16"/>
        <v>0.14560383550836598</v>
      </c>
      <c r="AM11" s="29">
        <f t="shared" si="16"/>
        <v>9.6291997650904682E-6</v>
      </c>
      <c r="AN11" s="29">
        <f t="shared" si="21"/>
        <v>-1.4036204000660302E-3</v>
      </c>
      <c r="AO11" s="30">
        <f t="shared" si="22"/>
        <v>-1.9683639609039218</v>
      </c>
      <c r="AP11" s="30">
        <f t="shared" si="23"/>
        <v>-1.9918640964589063E-4</v>
      </c>
      <c r="AQ11" s="30">
        <f t="shared" si="24"/>
        <v>-4.4860861323825496E-5</v>
      </c>
    </row>
    <row r="12" spans="1:43" x14ac:dyDescent="0.35">
      <c r="A12">
        <v>9</v>
      </c>
      <c r="B12" t="s">
        <v>34</v>
      </c>
      <c r="C12">
        <v>100</v>
      </c>
      <c r="D12" s="15">
        <v>43336</v>
      </c>
      <c r="E12">
        <v>28.305479999999999</v>
      </c>
      <c r="F12">
        <v>22.105699999999999</v>
      </c>
      <c r="G12">
        <v>23.784700000000001</v>
      </c>
      <c r="H12">
        <v>0.1792</v>
      </c>
      <c r="I12" s="5">
        <f t="shared" si="25"/>
        <v>74.375079999999997</v>
      </c>
      <c r="J12">
        <v>1.2676499999999999</v>
      </c>
      <c r="K12">
        <v>67.489199999999997</v>
      </c>
      <c r="L12">
        <v>1.1636899999999999</v>
      </c>
      <c r="M12">
        <v>0.25667999834400002</v>
      </c>
      <c r="N12" s="2">
        <f t="shared" si="17"/>
        <v>69.920540000000003</v>
      </c>
      <c r="O12" s="2">
        <f t="shared" si="18"/>
        <v>3.0870930108620031E-2</v>
      </c>
      <c r="P12" s="2"/>
      <c r="Q12" s="14">
        <v>0.95342696929553983</v>
      </c>
      <c r="R12">
        <f t="shared" si="0"/>
        <v>0.38057747299229794</v>
      </c>
      <c r="S12">
        <f t="shared" si="1"/>
        <v>0.29721917610038201</v>
      </c>
      <c r="T12">
        <f t="shared" si="2"/>
        <v>0.31979394173424758</v>
      </c>
      <c r="U12">
        <f t="shared" si="3"/>
        <v>2.409409173072486E-3</v>
      </c>
      <c r="V12">
        <f t="shared" si="4"/>
        <v>1.8129865701838114E-2</v>
      </c>
      <c r="W12">
        <f t="shared" si="5"/>
        <v>0.96522709921862726</v>
      </c>
      <c r="X12">
        <f t="shared" si="6"/>
        <v>1.6643035079534567E-2</v>
      </c>
      <c r="Y12">
        <f t="shared" si="7"/>
        <v>3.6710242561627813E-3</v>
      </c>
      <c r="Z12" s="1">
        <f t="shared" si="19"/>
        <v>-1.3433698597964394E-14</v>
      </c>
      <c r="AA12" s="1"/>
      <c r="AB12" s="17">
        <f t="shared" si="8"/>
        <v>27.803775377654862</v>
      </c>
      <c r="AC12" s="19">
        <f t="shared" si="9"/>
        <v>21.799704106632504</v>
      </c>
      <c r="AD12" s="17">
        <f t="shared" si="10"/>
        <v>23.430456075721683</v>
      </c>
      <c r="AE12" s="17">
        <f t="shared" si="11"/>
        <v>0.17917989134305845</v>
      </c>
      <c r="AF12" s="17">
        <f t="shared" si="12"/>
        <v>1.1645919954173725</v>
      </c>
      <c r="AG12" s="19">
        <f t="shared" si="13"/>
        <v>70.523079216331951</v>
      </c>
      <c r="AH12" s="19">
        <f t="shared" si="14"/>
        <v>1.2687203564932781</v>
      </c>
      <c r="AI12" s="19">
        <f t="shared" si="15"/>
        <v>0.25672388310951233</v>
      </c>
      <c r="AJ12" s="29">
        <f t="shared" si="20"/>
        <v>0.50170462234513735</v>
      </c>
      <c r="AK12" s="29">
        <f t="shared" si="16"/>
        <v>0.30599589336749489</v>
      </c>
      <c r="AL12" s="29">
        <f t="shared" si="16"/>
        <v>0.35424392427831819</v>
      </c>
      <c r="AM12" s="29">
        <f t="shared" si="16"/>
        <v>2.010865694154762E-5</v>
      </c>
      <c r="AN12" s="29">
        <f t="shared" si="21"/>
        <v>-9.0199541737256972E-4</v>
      </c>
      <c r="AO12" s="30">
        <f t="shared" si="22"/>
        <v>-3.0338792163319539</v>
      </c>
      <c r="AP12" s="30">
        <f t="shared" si="23"/>
        <v>-1.0703564932781351E-3</v>
      </c>
      <c r="AQ12" s="30">
        <f t="shared" si="24"/>
        <v>-4.3884765512314239E-5</v>
      </c>
    </row>
    <row r="13" spans="1:43" x14ac:dyDescent="0.35">
      <c r="A13">
        <v>10</v>
      </c>
      <c r="B13" t="s">
        <v>35</v>
      </c>
      <c r="C13">
        <v>50</v>
      </c>
      <c r="D13" s="15">
        <v>43336</v>
      </c>
      <c r="E13">
        <v>26.870640000000002</v>
      </c>
      <c r="F13">
        <v>21.0578</v>
      </c>
      <c r="G13">
        <v>16.213100000000001</v>
      </c>
      <c r="H13">
        <v>0.1792</v>
      </c>
      <c r="I13" s="5">
        <f t="shared" si="25"/>
        <v>64.320740000000001</v>
      </c>
      <c r="J13">
        <v>2.4789599999999998</v>
      </c>
      <c r="K13">
        <v>55.928550000000001</v>
      </c>
      <c r="L13">
        <v>1.78651</v>
      </c>
      <c r="M13">
        <v>0.39214999747000001</v>
      </c>
      <c r="N13" s="2">
        <f t="shared" si="17"/>
        <v>60.194020000000002</v>
      </c>
      <c r="O13" s="2">
        <f t="shared" si="18"/>
        <v>3.3142416208327426E-2</v>
      </c>
      <c r="P13" s="2"/>
      <c r="Q13" s="14">
        <v>0.94975678626183624</v>
      </c>
      <c r="R13">
        <f t="shared" si="0"/>
        <v>0.41776011905335669</v>
      </c>
      <c r="S13">
        <f t="shared" si="1"/>
        <v>0.32738740257030624</v>
      </c>
      <c r="T13">
        <f t="shared" si="2"/>
        <v>0.25206644077788909</v>
      </c>
      <c r="U13">
        <f t="shared" si="3"/>
        <v>2.7860375984480276E-3</v>
      </c>
      <c r="V13">
        <f t="shared" si="4"/>
        <v>4.1182828460368651E-2</v>
      </c>
      <c r="W13">
        <f t="shared" si="5"/>
        <v>0.9291379774934454</v>
      </c>
      <c r="X13">
        <f t="shared" si="6"/>
        <v>2.9679194046185985E-2</v>
      </c>
      <c r="Y13">
        <f t="shared" si="7"/>
        <v>6.5147667072244057E-3</v>
      </c>
      <c r="Z13" s="1">
        <f t="shared" si="19"/>
        <v>7.0595253659488932E-7</v>
      </c>
      <c r="AA13" s="1"/>
      <c r="AB13" s="17">
        <f t="shared" si="8"/>
        <v>26.306635720345145</v>
      </c>
      <c r="AC13" s="19">
        <f t="shared" si="9"/>
        <v>20.711420347982017</v>
      </c>
      <c r="AD13" s="17">
        <f t="shared" si="10"/>
        <v>16.007767118796821</v>
      </c>
      <c r="AE13" s="17">
        <f t="shared" si="11"/>
        <v>0.17917491567672858</v>
      </c>
      <c r="AF13" s="17">
        <f t="shared" si="12"/>
        <v>1.7891740045696358</v>
      </c>
      <c r="AG13" s="19">
        <f t="shared" si="13"/>
        <v>58.53945567611234</v>
      </c>
      <c r="AH13" s="19">
        <f t="shared" si="14"/>
        <v>2.4840893590546784</v>
      </c>
      <c r="AI13" s="19">
        <f t="shared" si="15"/>
        <v>0.39227835711151543</v>
      </c>
      <c r="AJ13" s="29">
        <f t="shared" si="20"/>
        <v>0.56400427965485633</v>
      </c>
      <c r="AK13" s="29">
        <f t="shared" si="16"/>
        <v>0.34637965201798337</v>
      </c>
      <c r="AL13" s="29">
        <f t="shared" si="16"/>
        <v>0.20533288120318005</v>
      </c>
      <c r="AM13" s="29">
        <f t="shared" si="16"/>
        <v>2.5084323271418185E-5</v>
      </c>
      <c r="AN13" s="29">
        <f t="shared" si="21"/>
        <v>-2.6640045696357806E-3</v>
      </c>
      <c r="AO13" s="30">
        <f t="shared" si="22"/>
        <v>-2.6109056761123384</v>
      </c>
      <c r="AP13" s="30">
        <f t="shared" si="23"/>
        <v>-5.129359054678595E-3</v>
      </c>
      <c r="AQ13" s="30">
        <f t="shared" si="24"/>
        <v>-1.2835964151541868E-4</v>
      </c>
    </row>
    <row r="14" spans="1:43" x14ac:dyDescent="0.35">
      <c r="A14">
        <v>11</v>
      </c>
      <c r="B14" t="s">
        <v>35</v>
      </c>
      <c r="C14">
        <v>100</v>
      </c>
      <c r="D14" s="15">
        <v>43336</v>
      </c>
      <c r="E14">
        <v>37.740639999999999</v>
      </c>
      <c r="F14">
        <v>23.5029</v>
      </c>
      <c r="G14">
        <v>20.081199999999999</v>
      </c>
      <c r="H14">
        <v>0.25600000000000001</v>
      </c>
      <c r="I14" s="5">
        <f t="shared" si="25"/>
        <v>81.580739999999992</v>
      </c>
      <c r="J14">
        <v>7.1833499999999999</v>
      </c>
      <c r="K14">
        <v>67.98912</v>
      </c>
      <c r="L14">
        <v>1.5898300000000001</v>
      </c>
      <c r="M14">
        <v>0.149729999034</v>
      </c>
      <c r="N14" s="2">
        <f t="shared" si="17"/>
        <v>76.76230000000001</v>
      </c>
      <c r="O14" s="2">
        <f t="shared" si="18"/>
        <v>3.043038708869036E-2</v>
      </c>
      <c r="P14" s="2"/>
      <c r="Q14" s="14">
        <v>0.94818208499660972</v>
      </c>
      <c r="R14">
        <f t="shared" si="0"/>
        <v>0.46261703436374813</v>
      </c>
      <c r="S14">
        <f t="shared" si="1"/>
        <v>0.2880937338886605</v>
      </c>
      <c r="T14">
        <f t="shared" si="2"/>
        <v>0.24615123618638421</v>
      </c>
      <c r="U14">
        <f t="shared" si="3"/>
        <v>3.1379955612072167E-3</v>
      </c>
      <c r="V14">
        <f t="shared" si="4"/>
        <v>9.3579139760012392E-2</v>
      </c>
      <c r="W14">
        <f t="shared" si="5"/>
        <v>0.88570978201539019</v>
      </c>
      <c r="X14">
        <f t="shared" si="6"/>
        <v>2.0711078224597231E-2</v>
      </c>
      <c r="Y14">
        <f t="shared" si="7"/>
        <v>1.9505668672512415E-3</v>
      </c>
      <c r="Z14" s="1">
        <f t="shared" si="19"/>
        <v>-4.1161518637977679E-14</v>
      </c>
      <c r="AA14" s="1"/>
      <c r="AB14" s="17">
        <f t="shared" si="8"/>
        <v>36.835927032759308</v>
      </c>
      <c r="AC14" s="19">
        <f t="shared" si="9"/>
        <v>23.152038917123996</v>
      </c>
      <c r="AD14" s="17">
        <f t="shared" si="10"/>
        <v>19.825063413746914</v>
      </c>
      <c r="AE14" s="17">
        <f t="shared" si="11"/>
        <v>0.25595837327685844</v>
      </c>
      <c r="AF14" s="17">
        <f t="shared" si="12"/>
        <v>1.591536213331971</v>
      </c>
      <c r="AG14" s="19">
        <f t="shared" si="13"/>
        <v>71.109523781245727</v>
      </c>
      <c r="AH14" s="19">
        <f t="shared" si="14"/>
        <v>7.2181826094393529</v>
      </c>
      <c r="AI14" s="19">
        <f t="shared" si="15"/>
        <v>0.1497451328900595</v>
      </c>
      <c r="AJ14" s="29">
        <f t="shared" si="20"/>
        <v>0.90471296724069106</v>
      </c>
      <c r="AK14" s="29">
        <f t="shared" si="16"/>
        <v>0.35086108287600482</v>
      </c>
      <c r="AL14" s="29">
        <f t="shared" si="16"/>
        <v>0.25613658625308489</v>
      </c>
      <c r="AM14" s="29">
        <f t="shared" si="16"/>
        <v>4.162672314156346E-5</v>
      </c>
      <c r="AN14" s="29">
        <f t="shared" si="21"/>
        <v>-1.7062133319709627E-3</v>
      </c>
      <c r="AO14" s="30">
        <f t="shared" si="22"/>
        <v>-3.1204037812457273</v>
      </c>
      <c r="AP14" s="30">
        <f t="shared" si="23"/>
        <v>-3.4832609439352957E-2</v>
      </c>
      <c r="AQ14" s="30">
        <f t="shared" si="24"/>
        <v>-1.5133856059501571E-5</v>
      </c>
    </row>
    <row r="15" spans="1:43" x14ac:dyDescent="0.35">
      <c r="A15">
        <v>12</v>
      </c>
      <c r="B15" t="s">
        <v>37</v>
      </c>
      <c r="C15">
        <v>15</v>
      </c>
      <c r="D15" s="15">
        <v>43408</v>
      </c>
      <c r="E15">
        <v>27.6098</v>
      </c>
      <c r="F15">
        <v>23.253399999999999</v>
      </c>
      <c r="G15">
        <v>22.9617</v>
      </c>
      <c r="H15">
        <v>0.56320000000000003</v>
      </c>
      <c r="I15" s="5">
        <f t="shared" si="25"/>
        <v>74.388099999999994</v>
      </c>
      <c r="J15">
        <v>1.6901999999999999</v>
      </c>
      <c r="K15">
        <v>63.177390000000003</v>
      </c>
      <c r="L15">
        <v>1.86846</v>
      </c>
      <c r="M15">
        <v>0.72012999535400002</v>
      </c>
      <c r="N15" s="2">
        <f t="shared" si="17"/>
        <v>66.736050000000006</v>
      </c>
      <c r="O15" s="2">
        <f t="shared" si="18"/>
        <v>5.4222115775365093E-2</v>
      </c>
      <c r="P15" s="2"/>
      <c r="Q15" s="14">
        <v>0.91798473870833164</v>
      </c>
      <c r="R15">
        <f t="shared" si="0"/>
        <v>0.37115882782326748</v>
      </c>
      <c r="S15">
        <f t="shared" si="1"/>
        <v>0.31259569743009974</v>
      </c>
      <c r="T15">
        <f t="shared" si="2"/>
        <v>0.30867437130401237</v>
      </c>
      <c r="U15">
        <f t="shared" si="3"/>
        <v>7.5711034426205279E-3</v>
      </c>
      <c r="V15">
        <f t="shared" si="4"/>
        <v>2.5326641298069032E-2</v>
      </c>
      <c r="W15">
        <f t="shared" si="5"/>
        <v>0.94667559737203499</v>
      </c>
      <c r="X15">
        <f t="shared" si="6"/>
        <v>2.7997761329895909E-2</v>
      </c>
      <c r="Y15">
        <f t="shared" si="7"/>
        <v>1.0790719489001821E-2</v>
      </c>
      <c r="Z15" s="1">
        <f t="shared" si="19"/>
        <v>7.7587949354196439E-7</v>
      </c>
      <c r="AA15" s="1"/>
      <c r="AB15" s="17">
        <f t="shared" si="8"/>
        <v>26.769338685703286</v>
      </c>
      <c r="AC15" s="19">
        <f t="shared" si="9"/>
        <v>22.65723821817086</v>
      </c>
      <c r="AD15" s="17">
        <f t="shared" si="10"/>
        <v>22.380401391172576</v>
      </c>
      <c r="AE15" s="17">
        <f t="shared" si="11"/>
        <v>0.56285028319753005</v>
      </c>
      <c r="AF15" s="17">
        <f t="shared" si="12"/>
        <v>1.8727504395243544</v>
      </c>
      <c r="AG15" s="19">
        <f t="shared" si="13"/>
        <v>68.082599215192104</v>
      </c>
      <c r="AH15" s="19">
        <f t="shared" si="14"/>
        <v>1.6937108345994762</v>
      </c>
      <c r="AI15" s="19">
        <f t="shared" si="15"/>
        <v>0.72076731304882569</v>
      </c>
      <c r="AJ15" s="29">
        <f t="shared" si="20"/>
        <v>0.84046131429671433</v>
      </c>
      <c r="AK15" s="29">
        <f t="shared" si="16"/>
        <v>0.5961617818291387</v>
      </c>
      <c r="AL15" s="29">
        <f t="shared" si="16"/>
        <v>0.58129860882742435</v>
      </c>
      <c r="AM15" s="29">
        <f t="shared" si="16"/>
        <v>3.4971680246997927E-4</v>
      </c>
      <c r="AN15" s="29">
        <f t="shared" si="21"/>
        <v>-4.2904395243543725E-3</v>
      </c>
      <c r="AO15" s="30">
        <f t="shared" si="22"/>
        <v>-4.9052092151921016</v>
      </c>
      <c r="AP15" s="30">
        <f t="shared" si="23"/>
        <v>-3.5108345994763202E-3</v>
      </c>
      <c r="AQ15" s="30">
        <f t="shared" si="24"/>
        <v>-6.3731769482566758E-4</v>
      </c>
    </row>
    <row r="16" spans="1:43" x14ac:dyDescent="0.35">
      <c r="A16">
        <v>13</v>
      </c>
      <c r="B16" t="s">
        <v>37</v>
      </c>
      <c r="C16">
        <v>50</v>
      </c>
      <c r="D16" s="15">
        <v>43408</v>
      </c>
      <c r="E16">
        <v>58.741480000000003</v>
      </c>
      <c r="F16">
        <v>22.055800000000001</v>
      </c>
      <c r="G16">
        <v>34.895200000000003</v>
      </c>
      <c r="H16">
        <v>0.33279999999999998</v>
      </c>
      <c r="I16" s="5">
        <f t="shared" si="25"/>
        <v>116.02528000000001</v>
      </c>
      <c r="J16">
        <v>7.8594299999999997</v>
      </c>
      <c r="K16">
        <v>101.17131000000001</v>
      </c>
      <c r="L16">
        <v>1.49149</v>
      </c>
      <c r="M16">
        <v>1.846669988086</v>
      </c>
      <c r="N16" s="2">
        <f t="shared" si="17"/>
        <v>110.52223000000001</v>
      </c>
      <c r="O16" s="2">
        <f t="shared" si="18"/>
        <v>2.429093129295485E-2</v>
      </c>
      <c r="P16" s="2"/>
      <c r="Q16" s="14">
        <v>0.97343707825585035</v>
      </c>
      <c r="R16">
        <f t="shared" si="0"/>
        <v>0.50628173446338587</v>
      </c>
      <c r="S16">
        <f t="shared" si="1"/>
        <v>0.19009477934463936</v>
      </c>
      <c r="T16">
        <f t="shared" si="2"/>
        <v>0.30075514577512763</v>
      </c>
      <c r="U16">
        <f t="shared" si="3"/>
        <v>2.8683404168470868E-3</v>
      </c>
      <c r="V16">
        <f t="shared" si="4"/>
        <v>7.1111757336058082E-2</v>
      </c>
      <c r="W16">
        <f t="shared" si="5"/>
        <v>0.91539331046794836</v>
      </c>
      <c r="X16">
        <f t="shared" si="6"/>
        <v>1.3494932195993511E-2</v>
      </c>
      <c r="Y16">
        <f t="shared" si="7"/>
        <v>1.6708584219536648E-2</v>
      </c>
      <c r="Z16" s="1">
        <f t="shared" si="19"/>
        <v>1.3399333562702509E-6</v>
      </c>
      <c r="AA16" s="1"/>
      <c r="AB16" s="17">
        <f t="shared" si="8"/>
        <v>57.951505656737943</v>
      </c>
      <c r="AC16" s="19">
        <f t="shared" si="9"/>
        <v>21.944429838971214</v>
      </c>
      <c r="AD16" s="17">
        <f t="shared" si="10"/>
        <v>34.616424501381942</v>
      </c>
      <c r="AE16" s="17">
        <f t="shared" si="11"/>
        <v>0.33277464346812496</v>
      </c>
      <c r="AF16" s="17">
        <f t="shared" si="12"/>
        <v>1.492024646706112</v>
      </c>
      <c r="AG16" s="19">
        <f t="shared" si="13"/>
        <v>103.63134309985932</v>
      </c>
      <c r="AH16" s="19">
        <f t="shared" si="14"/>
        <v>7.8742759606217776</v>
      </c>
      <c r="AI16" s="19">
        <f t="shared" si="15"/>
        <v>1.8474895934386542</v>
      </c>
      <c r="AJ16" s="29">
        <f t="shared" si="20"/>
        <v>0.78997434326205962</v>
      </c>
      <c r="AK16" s="29">
        <f t="shared" si="16"/>
        <v>0.11137016102878761</v>
      </c>
      <c r="AL16" s="29">
        <f t="shared" si="16"/>
        <v>0.27877549861806017</v>
      </c>
      <c r="AM16" s="29">
        <f t="shared" si="16"/>
        <v>2.5356531875020405E-5</v>
      </c>
      <c r="AN16" s="29">
        <f t="shared" si="21"/>
        <v>-5.3464670611202969E-4</v>
      </c>
      <c r="AO16" s="30">
        <f t="shared" si="22"/>
        <v>-2.4600330998593165</v>
      </c>
      <c r="AP16" s="30">
        <f t="shared" si="23"/>
        <v>-1.4845960621777898E-2</v>
      </c>
      <c r="AQ16" s="30">
        <f t="shared" si="24"/>
        <v>-8.1960535265412915E-4</v>
      </c>
    </row>
    <row r="17" spans="1:43" x14ac:dyDescent="0.35">
      <c r="A17">
        <v>14</v>
      </c>
      <c r="B17" t="s">
        <v>37</v>
      </c>
      <c r="C17">
        <v>100</v>
      </c>
      <c r="D17" s="15">
        <v>43408</v>
      </c>
      <c r="E17">
        <v>57.132719999999999</v>
      </c>
      <c r="F17">
        <v>9.0319000000000003</v>
      </c>
      <c r="G17">
        <v>19.093599999999999</v>
      </c>
      <c r="H17">
        <v>0.1792</v>
      </c>
      <c r="I17" s="5">
        <f t="shared" si="25"/>
        <v>85.437419999999989</v>
      </c>
      <c r="J17">
        <v>9.6623099999999997</v>
      </c>
      <c r="K17">
        <v>70.301249999999996</v>
      </c>
      <c r="L17">
        <v>1.49149</v>
      </c>
      <c r="M17">
        <v>1.447389990662</v>
      </c>
      <c r="N17" s="2">
        <f t="shared" si="17"/>
        <v>81.45505</v>
      </c>
      <c r="O17" s="2">
        <f t="shared" si="18"/>
        <v>2.3861891432249691E-2</v>
      </c>
      <c r="P17" s="2"/>
      <c r="Q17" s="14">
        <v>0.97592642168787791</v>
      </c>
      <c r="R17">
        <f t="shared" si="0"/>
        <v>0.66870839498664647</v>
      </c>
      <c r="S17">
        <f t="shared" si="1"/>
        <v>0.10571363227026286</v>
      </c>
      <c r="T17">
        <f t="shared" si="2"/>
        <v>0.22348053113027055</v>
      </c>
      <c r="U17">
        <f t="shared" si="3"/>
        <v>2.0974416128202375E-3</v>
      </c>
      <c r="V17">
        <f t="shared" si="4"/>
        <v>0.11862137461090504</v>
      </c>
      <c r="W17">
        <f t="shared" si="5"/>
        <v>0.86306803568348422</v>
      </c>
      <c r="X17">
        <f t="shared" si="6"/>
        <v>1.8310589705610641E-2</v>
      </c>
      <c r="Y17">
        <f t="shared" si="7"/>
        <v>1.7769186694526613E-2</v>
      </c>
      <c r="Z17" s="1">
        <f t="shared" si="19"/>
        <v>1.0276631532413205E-6</v>
      </c>
      <c r="AA17" s="1"/>
      <c r="AB17" s="17">
        <f t="shared" si="8"/>
        <v>56.212985823239421</v>
      </c>
      <c r="AC17" s="19">
        <f t="shared" si="9"/>
        <v>9.0089146688715225</v>
      </c>
      <c r="AD17" s="17">
        <f t="shared" si="10"/>
        <v>18.990876888959505</v>
      </c>
      <c r="AE17" s="17">
        <f t="shared" si="11"/>
        <v>0.17919095166785409</v>
      </c>
      <c r="AF17" s="17">
        <f t="shared" si="12"/>
        <v>1.492147450902785</v>
      </c>
      <c r="AG17" s="19">
        <f t="shared" si="13"/>
        <v>71.761908628403745</v>
      </c>
      <c r="AH17" s="19">
        <f t="shared" si="14"/>
        <v>9.6899020881190658</v>
      </c>
      <c r="AI17" s="19">
        <f t="shared" si="15"/>
        <v>1.4480091376495454</v>
      </c>
      <c r="AJ17" s="29">
        <f t="shared" si="20"/>
        <v>0.91973417676057778</v>
      </c>
      <c r="AK17" s="29">
        <f t="shared" si="16"/>
        <v>2.2985331128477782E-2</v>
      </c>
      <c r="AL17" s="29">
        <f t="shared" si="16"/>
        <v>0.10272311104049336</v>
      </c>
      <c r="AM17" s="29">
        <f t="shared" si="16"/>
        <v>9.0483321459056132E-6</v>
      </c>
      <c r="AN17" s="29">
        <f t="shared" si="21"/>
        <v>-6.5745090278501728E-4</v>
      </c>
      <c r="AO17" s="30">
        <f t="shared" si="22"/>
        <v>-1.460658628403749</v>
      </c>
      <c r="AP17" s="30">
        <f t="shared" si="23"/>
        <v>-2.7592088119066105E-2</v>
      </c>
      <c r="AQ17" s="30">
        <f t="shared" si="24"/>
        <v>-6.1914698754539366E-4</v>
      </c>
    </row>
    <row r="18" spans="1:43" x14ac:dyDescent="0.35">
      <c r="A18">
        <v>15</v>
      </c>
      <c r="B18" t="s">
        <v>38</v>
      </c>
      <c r="C18">
        <v>15</v>
      </c>
      <c r="D18" s="15">
        <v>43408</v>
      </c>
      <c r="E18">
        <v>62.045960000000001</v>
      </c>
      <c r="F18">
        <v>22.854199999999999</v>
      </c>
      <c r="G18">
        <v>35.8005</v>
      </c>
      <c r="H18">
        <v>0.79359999999999997</v>
      </c>
      <c r="I18" s="5">
        <f t="shared" si="25"/>
        <v>121.49426</v>
      </c>
      <c r="J18">
        <v>2.90151</v>
      </c>
      <c r="K18">
        <v>109.23251999999999</v>
      </c>
      <c r="L18">
        <v>2.0323600000000002</v>
      </c>
      <c r="M18">
        <v>0.37075999760799999</v>
      </c>
      <c r="N18" s="2">
        <f t="shared" si="17"/>
        <v>114.16638999999999</v>
      </c>
      <c r="O18" s="2">
        <f t="shared" si="18"/>
        <v>3.1095008861258783E-2</v>
      </c>
      <c r="P18" s="2"/>
      <c r="Q18" s="14">
        <v>0.9539760507682028</v>
      </c>
      <c r="R18">
        <f t="shared" si="0"/>
        <v>0.5106904638951667</v>
      </c>
      <c r="S18">
        <f t="shared" si="1"/>
        <v>0.18810929833228335</v>
      </c>
      <c r="T18">
        <f t="shared" si="2"/>
        <v>0.29466824193998958</v>
      </c>
      <c r="U18">
        <f t="shared" si="3"/>
        <v>6.5319958325603198E-3</v>
      </c>
      <c r="V18">
        <f t="shared" si="4"/>
        <v>2.5414747720410535E-2</v>
      </c>
      <c r="W18">
        <f t="shared" si="5"/>
        <v>0.95678351570895781</v>
      </c>
      <c r="X18">
        <f t="shared" si="6"/>
        <v>1.7801736570631693E-2</v>
      </c>
      <c r="Y18">
        <f t="shared" si="7"/>
        <v>3.2475406957161385E-3</v>
      </c>
      <c r="Z18" s="1">
        <f t="shared" si="19"/>
        <v>3.7747582837255322E-14</v>
      </c>
      <c r="AA18" s="1"/>
      <c r="AB18" s="17">
        <f t="shared" si="8"/>
        <v>60.587632253553046</v>
      </c>
      <c r="AC18" s="19">
        <f t="shared" si="9"/>
        <v>22.656339013962825</v>
      </c>
      <c r="AD18" s="17">
        <f t="shared" si="10"/>
        <v>35.314980914881666</v>
      </c>
      <c r="AE18" s="17">
        <f t="shared" si="11"/>
        <v>0.79336142142510124</v>
      </c>
      <c r="AF18" s="17">
        <f t="shared" si="12"/>
        <v>2.034025125189614</v>
      </c>
      <c r="AG18" s="19">
        <f t="shared" si="13"/>
        <v>114.04256920681438</v>
      </c>
      <c r="AH18" s="19">
        <f t="shared" si="14"/>
        <v>2.904903858698046</v>
      </c>
      <c r="AI18" s="19">
        <f t="shared" si="15"/>
        <v>0.37081541312057498</v>
      </c>
      <c r="AJ18" s="29">
        <f t="shared" si="20"/>
        <v>1.4583277464469546</v>
      </c>
      <c r="AK18" s="29">
        <f t="shared" si="16"/>
        <v>0.19786098603717406</v>
      </c>
      <c r="AL18" s="29">
        <f t="shared" si="16"/>
        <v>0.48551908511833375</v>
      </c>
      <c r="AM18" s="29">
        <f t="shared" si="16"/>
        <v>2.3857857489872902E-4</v>
      </c>
      <c r="AN18" s="29">
        <f t="shared" si="21"/>
        <v>-1.6651251896138142E-3</v>
      </c>
      <c r="AO18" s="30">
        <f t="shared" si="22"/>
        <v>-4.8100492068143836</v>
      </c>
      <c r="AP18" s="30">
        <f t="shared" si="23"/>
        <v>-3.3938586980459817E-3</v>
      </c>
      <c r="AQ18" s="30">
        <f t="shared" si="24"/>
        <v>-5.5415512574985559E-5</v>
      </c>
    </row>
    <row r="19" spans="1:43" x14ac:dyDescent="0.35">
      <c r="A19">
        <v>16</v>
      </c>
      <c r="B19" t="s">
        <v>38</v>
      </c>
      <c r="C19">
        <v>50</v>
      </c>
      <c r="D19" s="15">
        <v>43408</v>
      </c>
      <c r="E19">
        <v>91.69932</v>
      </c>
      <c r="F19">
        <v>19.061800000000002</v>
      </c>
      <c r="G19">
        <v>37.693399999999997</v>
      </c>
      <c r="H19">
        <v>0.79359999999999997</v>
      </c>
      <c r="I19" s="5">
        <f t="shared" si="25"/>
        <v>149.24812</v>
      </c>
      <c r="J19">
        <v>6.4790999999999999</v>
      </c>
      <c r="K19">
        <v>133.1037</v>
      </c>
      <c r="L19">
        <v>1.6226100000000001</v>
      </c>
      <c r="M19">
        <v>0.70586999544600004</v>
      </c>
      <c r="N19" s="2">
        <f t="shared" si="17"/>
        <v>141.20541</v>
      </c>
      <c r="O19" s="2">
        <f t="shared" si="18"/>
        <v>2.7690178184441413E-2</v>
      </c>
      <c r="P19" s="2"/>
      <c r="Q19" s="14">
        <v>0.96219791189199388</v>
      </c>
      <c r="R19">
        <f t="shared" si="0"/>
        <v>0.61440854330359407</v>
      </c>
      <c r="S19">
        <f t="shared" si="1"/>
        <v>0.12771886171832517</v>
      </c>
      <c r="T19">
        <f t="shared" si="2"/>
        <v>0.25255527506812142</v>
      </c>
      <c r="U19">
        <f t="shared" si="3"/>
        <v>5.3173199099593345E-3</v>
      </c>
      <c r="V19">
        <f t="shared" si="4"/>
        <v>4.588421930859448E-2</v>
      </c>
      <c r="W19">
        <f t="shared" si="5"/>
        <v>0.94262464872981855</v>
      </c>
      <c r="X19">
        <f t="shared" si="6"/>
        <v>1.1491131961587025E-2</v>
      </c>
      <c r="Y19">
        <f t="shared" si="7"/>
        <v>4.9988877582381585E-3</v>
      </c>
      <c r="Z19" s="1">
        <f t="shared" si="19"/>
        <v>-7.1498362785860081E-14</v>
      </c>
      <c r="AA19" s="1"/>
      <c r="AB19" s="17">
        <f t="shared" si="8"/>
        <v>89.569518389674869</v>
      </c>
      <c r="AC19" s="19">
        <f t="shared" si="9"/>
        <v>18.969768873537905</v>
      </c>
      <c r="AD19" s="17">
        <f t="shared" si="10"/>
        <v>37.33353670910855</v>
      </c>
      <c r="AE19" s="17">
        <f t="shared" si="11"/>
        <v>0.79344048180050486</v>
      </c>
      <c r="AF19" s="17">
        <f t="shared" si="12"/>
        <v>1.623314843582977</v>
      </c>
      <c r="AG19" s="19">
        <f t="shared" si="13"/>
        <v>137.84660810396889</v>
      </c>
      <c r="AH19" s="19">
        <f t="shared" si="14"/>
        <v>6.490338124003566</v>
      </c>
      <c r="AI19" s="19">
        <f t="shared" si="15"/>
        <v>0.70600338256645623</v>
      </c>
      <c r="AJ19" s="29">
        <f t="shared" si="20"/>
        <v>2.1298016103251314</v>
      </c>
      <c r="AK19" s="29">
        <f t="shared" si="16"/>
        <v>9.2031126462096324E-2</v>
      </c>
      <c r="AL19" s="29">
        <f t="shared" si="16"/>
        <v>0.35986329089144675</v>
      </c>
      <c r="AM19" s="29">
        <f t="shared" si="16"/>
        <v>1.5951819949511226E-4</v>
      </c>
      <c r="AN19" s="29">
        <f t="shared" si="21"/>
        <v>-7.0484358297684402E-4</v>
      </c>
      <c r="AO19" s="30">
        <f t="shared" si="22"/>
        <v>-4.7429081039688867</v>
      </c>
      <c r="AP19" s="30">
        <f t="shared" si="23"/>
        <v>-1.1238124003566163E-2</v>
      </c>
      <c r="AQ19" s="30">
        <f t="shared" si="24"/>
        <v>-1.3338712045618539E-4</v>
      </c>
    </row>
    <row r="20" spans="1:43" x14ac:dyDescent="0.35">
      <c r="A20">
        <v>17</v>
      </c>
      <c r="B20" t="s">
        <v>38</v>
      </c>
      <c r="C20">
        <v>100</v>
      </c>
      <c r="D20" s="15">
        <v>43408</v>
      </c>
      <c r="E20">
        <v>74.916039999999995</v>
      </c>
      <c r="F20">
        <v>19.061800000000002</v>
      </c>
      <c r="G20">
        <v>31.027100000000001</v>
      </c>
      <c r="H20">
        <v>0.46079999999999999</v>
      </c>
      <c r="I20" s="5">
        <f t="shared" si="25"/>
        <v>125.46574000000001</v>
      </c>
      <c r="J20">
        <v>8.2819800000000008</v>
      </c>
      <c r="K20">
        <v>112.54449</v>
      </c>
      <c r="L20">
        <v>1.3931500000000001</v>
      </c>
      <c r="M20">
        <v>0.64169999586000004</v>
      </c>
      <c r="N20" s="2">
        <f t="shared" si="17"/>
        <v>122.21962000000001</v>
      </c>
      <c r="O20" s="2">
        <f t="shared" si="18"/>
        <v>1.3105821030358858E-2</v>
      </c>
      <c r="P20" s="2"/>
      <c r="Q20" s="14">
        <v>0.98367328626113992</v>
      </c>
      <c r="R20">
        <f t="shared" si="0"/>
        <v>0.59710355990408204</v>
      </c>
      <c r="S20">
        <f t="shared" si="1"/>
        <v>0.15192832720709254</v>
      </c>
      <c r="T20">
        <f t="shared" si="2"/>
        <v>0.2472953971339108</v>
      </c>
      <c r="U20">
        <f t="shared" si="3"/>
        <v>3.6727157549144487E-3</v>
      </c>
      <c r="V20">
        <f t="shared" si="4"/>
        <v>6.7763097283398521E-2</v>
      </c>
      <c r="W20">
        <f t="shared" si="5"/>
        <v>0.92083816002700702</v>
      </c>
      <c r="X20">
        <f t="shared" si="6"/>
        <v>1.1398742689594355E-2</v>
      </c>
      <c r="Y20">
        <f t="shared" si="7"/>
        <v>5.2503844788586319E-3</v>
      </c>
      <c r="Z20" s="1">
        <f t="shared" si="19"/>
        <v>4.3076653355456074E-14</v>
      </c>
      <c r="AA20" s="1"/>
      <c r="AB20" s="17">
        <f t="shared" si="8"/>
        <v>74.185703086992007</v>
      </c>
      <c r="AC20" s="19">
        <f t="shared" si="9"/>
        <v>19.014517389863475</v>
      </c>
      <c r="AD20" s="17">
        <f t="shared" si="10"/>
        <v>30.901827427280384</v>
      </c>
      <c r="AE20" s="17">
        <f t="shared" si="11"/>
        <v>0.46077236887506062</v>
      </c>
      <c r="AF20" s="17">
        <f t="shared" si="12"/>
        <v>1.3934092707999657</v>
      </c>
      <c r="AG20" s="19">
        <f t="shared" si="13"/>
        <v>114.23651324111381</v>
      </c>
      <c r="AH20" s="19">
        <f t="shared" si="14"/>
        <v>8.2911427577352388</v>
      </c>
      <c r="AI20" s="19">
        <f t="shared" si="15"/>
        <v>0.64175500336185598</v>
      </c>
      <c r="AJ20" s="29">
        <f t="shared" si="20"/>
        <v>0.73033691300798864</v>
      </c>
      <c r="AK20" s="29">
        <f t="shared" si="20"/>
        <v>4.7282610136527126E-2</v>
      </c>
      <c r="AL20" s="29">
        <f t="shared" si="20"/>
        <v>0.12527257271961645</v>
      </c>
      <c r="AM20" s="29">
        <f t="shared" si="20"/>
        <v>2.7631124939364593E-5</v>
      </c>
      <c r="AN20" s="29">
        <f t="shared" si="21"/>
        <v>-2.592707999655719E-4</v>
      </c>
      <c r="AO20" s="30">
        <f t="shared" si="22"/>
        <v>-1.6920232411138159</v>
      </c>
      <c r="AP20" s="30">
        <f t="shared" si="23"/>
        <v>-9.162757735238003E-3</v>
      </c>
      <c r="AQ20" s="30">
        <f t="shared" si="24"/>
        <v>-5.5007501855941499E-5</v>
      </c>
    </row>
    <row r="21" spans="1:43" x14ac:dyDescent="0.35">
      <c r="A21">
        <v>18</v>
      </c>
      <c r="B21" t="s">
        <v>39</v>
      </c>
      <c r="C21">
        <v>15</v>
      </c>
      <c r="D21" s="15">
        <v>43408</v>
      </c>
      <c r="E21">
        <v>10.130839999999999</v>
      </c>
      <c r="F21">
        <v>10.379200000000001</v>
      </c>
      <c r="G21">
        <v>5.5141</v>
      </c>
      <c r="H21">
        <v>0.1792</v>
      </c>
      <c r="I21" s="5">
        <f t="shared" si="25"/>
        <v>26.203340000000001</v>
      </c>
      <c r="J21">
        <v>2.5071300000000001</v>
      </c>
      <c r="K21">
        <v>19.9968</v>
      </c>
      <c r="L21">
        <v>1.9995799999999999</v>
      </c>
      <c r="M21">
        <v>0.28519999816000002</v>
      </c>
      <c r="N21" s="2">
        <f t="shared" si="17"/>
        <v>24.503509999999999</v>
      </c>
      <c r="O21" s="2">
        <f t="shared" si="18"/>
        <v>3.3522689735213329E-2</v>
      </c>
      <c r="P21" s="2"/>
      <c r="Q21" s="14">
        <v>0.94544768777294341</v>
      </c>
      <c r="R21">
        <f t="shared" si="0"/>
        <v>0.38662399526167268</v>
      </c>
      <c r="S21">
        <f t="shared" si="1"/>
        <v>0.39610217628745042</v>
      </c>
      <c r="T21">
        <f t="shared" si="2"/>
        <v>0.21043500561378817</v>
      </c>
      <c r="U21">
        <f t="shared" si="3"/>
        <v>6.838822837088707E-3</v>
      </c>
      <c r="V21">
        <f t="shared" si="4"/>
        <v>0.10231717823283278</v>
      </c>
      <c r="W21">
        <f t="shared" si="5"/>
        <v>0.81607900255922527</v>
      </c>
      <c r="X21">
        <f t="shared" si="6"/>
        <v>8.1603819207942047E-2</v>
      </c>
      <c r="Y21">
        <f t="shared" si="7"/>
        <v>1.1639148765217719E-2</v>
      </c>
      <c r="Z21" s="1">
        <f t="shared" si="19"/>
        <v>2.4516987384703981E-7</v>
      </c>
      <c r="AA21" s="1"/>
      <c r="AB21" s="17">
        <f t="shared" si="8"/>
        <v>9.9171680940469731</v>
      </c>
      <c r="AC21" s="19">
        <f t="shared" si="9"/>
        <v>10.154923240639214</v>
      </c>
      <c r="AD21" s="17">
        <f t="shared" si="10"/>
        <v>5.4507996972889687</v>
      </c>
      <c r="AE21" s="17">
        <f t="shared" si="11"/>
        <v>0.17913314521111756</v>
      </c>
      <c r="AF21" s="17">
        <f t="shared" si="12"/>
        <v>2.0084814843443537</v>
      </c>
      <c r="AG21" s="19">
        <f t="shared" si="13"/>
        <v>20.887037470202159</v>
      </c>
      <c r="AH21" s="19">
        <f t="shared" si="14"/>
        <v>2.5211238937164691</v>
      </c>
      <c r="AI21" s="19">
        <f t="shared" si="15"/>
        <v>0.28538108375341398</v>
      </c>
      <c r="AJ21" s="29">
        <f t="shared" si="20"/>
        <v>0.2136719059530261</v>
      </c>
      <c r="AK21" s="29">
        <f t="shared" si="20"/>
        <v>0.22427675936078728</v>
      </c>
      <c r="AL21" s="29">
        <f t="shared" si="20"/>
        <v>6.3300302711031264E-2</v>
      </c>
      <c r="AM21" s="29">
        <f t="shared" si="20"/>
        <v>6.6854788882436678E-5</v>
      </c>
      <c r="AN21" s="29">
        <f t="shared" si="21"/>
        <v>-8.9014843443537828E-3</v>
      </c>
      <c r="AO21" s="30">
        <f t="shared" si="22"/>
        <v>-0.89023747020215893</v>
      </c>
      <c r="AP21" s="30">
        <f t="shared" si="23"/>
        <v>-1.3993893716468975E-2</v>
      </c>
      <c r="AQ21" s="30">
        <f t="shared" si="24"/>
        <v>-1.8108559341395436E-4</v>
      </c>
    </row>
    <row r="22" spans="1:43" x14ac:dyDescent="0.35">
      <c r="A22">
        <v>19</v>
      </c>
      <c r="B22" t="s">
        <v>39</v>
      </c>
      <c r="C22">
        <v>50</v>
      </c>
      <c r="D22" s="15">
        <v>43408</v>
      </c>
      <c r="E22">
        <v>35.784039999999997</v>
      </c>
      <c r="F22">
        <v>18.912099999999999</v>
      </c>
      <c r="G22">
        <v>19.422799999999999</v>
      </c>
      <c r="H22">
        <v>0.128</v>
      </c>
      <c r="I22" s="5">
        <f t="shared" si="25"/>
        <v>74.246939999999995</v>
      </c>
      <c r="J22">
        <v>7.5495599999999996</v>
      </c>
      <c r="K22">
        <v>62.052570000000003</v>
      </c>
      <c r="L22">
        <v>1.9340200000000001</v>
      </c>
      <c r="M22">
        <v>0.335109997838</v>
      </c>
      <c r="N22" s="2">
        <f t="shared" si="17"/>
        <v>71.536150000000006</v>
      </c>
      <c r="O22" s="2">
        <f t="shared" si="18"/>
        <v>1.8594680631340635E-2</v>
      </c>
      <c r="P22" s="2"/>
      <c r="Q22" s="14">
        <v>0.97096518448502711</v>
      </c>
      <c r="R22">
        <f t="shared" si="0"/>
        <v>0.4819597952454337</v>
      </c>
      <c r="S22">
        <f t="shared" si="1"/>
        <v>0.25471891501521815</v>
      </c>
      <c r="T22">
        <f t="shared" si="2"/>
        <v>0.26159731296670274</v>
      </c>
      <c r="U22">
        <f t="shared" si="3"/>
        <v>1.7239767726454451E-3</v>
      </c>
      <c r="V22">
        <f t="shared" si="4"/>
        <v>0.10553489389630276</v>
      </c>
      <c r="W22">
        <f t="shared" si="5"/>
        <v>0.86742954436323449</v>
      </c>
      <c r="X22">
        <f t="shared" si="6"/>
        <v>2.7035561740462687E-2</v>
      </c>
      <c r="Y22">
        <f t="shared" si="7"/>
        <v>4.6844846673744665E-3</v>
      </c>
      <c r="Z22" s="1">
        <f t="shared" si="19"/>
        <v>7.9446062029031594E-7</v>
      </c>
      <c r="AA22" s="1"/>
      <c r="AB22" s="17">
        <f t="shared" si="8"/>
        <v>35.283291966162345</v>
      </c>
      <c r="AC22" s="19">
        <f t="shared" si="9"/>
        <v>18.772231466091249</v>
      </c>
      <c r="AD22" s="17">
        <f t="shared" si="10"/>
        <v>19.275275487611058</v>
      </c>
      <c r="AE22" s="17">
        <f t="shared" si="11"/>
        <v>0.12799359291551413</v>
      </c>
      <c r="AF22" s="17">
        <f t="shared" si="12"/>
        <v>1.9355381526062734</v>
      </c>
      <c r="AG22" s="19">
        <f t="shared" si="13"/>
        <v>63.615404731132656</v>
      </c>
      <c r="AH22" s="19">
        <f t="shared" si="14"/>
        <v>7.5726932573768515</v>
      </c>
      <c r="AI22" s="19">
        <f t="shared" si="15"/>
        <v>0.33515557720376565</v>
      </c>
      <c r="AJ22" s="29">
        <f t="shared" si="20"/>
        <v>0.50074803383765243</v>
      </c>
      <c r="AK22" s="29">
        <f t="shared" si="20"/>
        <v>0.13986853390874998</v>
      </c>
      <c r="AL22" s="29">
        <f t="shared" si="20"/>
        <v>0.14752451238894082</v>
      </c>
      <c r="AM22" s="29">
        <f t="shared" si="20"/>
        <v>6.4070844858765685E-6</v>
      </c>
      <c r="AN22" s="29">
        <f t="shared" si="21"/>
        <v>-1.5181526062733042E-3</v>
      </c>
      <c r="AO22" s="30">
        <f t="shared" si="22"/>
        <v>-1.5628347311326536</v>
      </c>
      <c r="AP22" s="30">
        <f t="shared" si="23"/>
        <v>-2.3133257376851901E-2</v>
      </c>
      <c r="AQ22" s="30">
        <f t="shared" si="24"/>
        <v>-4.5579365765657798E-5</v>
      </c>
    </row>
    <row r="23" spans="1:43" x14ac:dyDescent="0.35">
      <c r="A23">
        <v>20</v>
      </c>
      <c r="B23" t="s">
        <v>39</v>
      </c>
      <c r="C23">
        <v>100</v>
      </c>
      <c r="D23" s="15">
        <v>43408</v>
      </c>
      <c r="E23">
        <v>49.088920000000002</v>
      </c>
      <c r="F23">
        <v>21.007899999999999</v>
      </c>
      <c r="G23">
        <v>20.492699999999999</v>
      </c>
      <c r="H23">
        <v>0.3584</v>
      </c>
      <c r="I23" s="5">
        <f t="shared" si="25"/>
        <v>90.947920000000011</v>
      </c>
      <c r="J23">
        <v>11.183490000000001</v>
      </c>
      <c r="K23">
        <v>76.362780000000001</v>
      </c>
      <c r="L23">
        <v>1.5898300000000001</v>
      </c>
      <c r="M23">
        <v>0.149729999034</v>
      </c>
      <c r="N23" s="2">
        <f t="shared" si="17"/>
        <v>89.136100000000013</v>
      </c>
      <c r="O23" s="2">
        <f t="shared" si="18"/>
        <v>1.0060970429247399E-2</v>
      </c>
      <c r="P23" s="2"/>
      <c r="Q23" s="14">
        <v>0.98383476659340041</v>
      </c>
      <c r="R23">
        <f t="shared" si="0"/>
        <v>0.53974758301234371</v>
      </c>
      <c r="S23">
        <f t="shared" si="1"/>
        <v>0.23098824030280182</v>
      </c>
      <c r="T23">
        <f t="shared" si="2"/>
        <v>0.22532345984383148</v>
      </c>
      <c r="U23">
        <f t="shared" si="3"/>
        <v>3.940716841022862E-3</v>
      </c>
      <c r="V23">
        <f t="shared" si="4"/>
        <v>0.12546532774038802</v>
      </c>
      <c r="W23">
        <f t="shared" si="5"/>
        <v>0.85669868885894707</v>
      </c>
      <c r="X23">
        <f t="shared" si="6"/>
        <v>1.7835983400664824E-2</v>
      </c>
      <c r="Y23">
        <f t="shared" si="7"/>
        <v>1.6797907809967003E-3</v>
      </c>
      <c r="Z23" s="1">
        <f t="shared" si="19"/>
        <v>1.0115665293186638E-6</v>
      </c>
      <c r="AA23" s="1"/>
      <c r="AB23" s="17">
        <f t="shared" si="8"/>
        <v>48.660612022705827</v>
      </c>
      <c r="AC23" s="19">
        <f t="shared" si="9"/>
        <v>20.929456946375165</v>
      </c>
      <c r="AD23" s="17">
        <f t="shared" si="10"/>
        <v>20.418057259998797</v>
      </c>
      <c r="AE23" s="17">
        <f t="shared" si="11"/>
        <v>0.35837716898546323</v>
      </c>
      <c r="AF23" s="17">
        <f t="shared" si="12"/>
        <v>1.5902883842923037</v>
      </c>
      <c r="AG23" s="19">
        <f t="shared" si="13"/>
        <v>77.420307847920981</v>
      </c>
      <c r="AH23" s="19">
        <f t="shared" si="14"/>
        <v>11.206172089451586</v>
      </c>
      <c r="AI23" s="19">
        <f t="shared" si="15"/>
        <v>0.14973406483384444</v>
      </c>
      <c r="AJ23" s="29">
        <f t="shared" si="20"/>
        <v>0.42830797729417469</v>
      </c>
      <c r="AK23" s="29">
        <f t="shared" si="20"/>
        <v>7.8443053624834391E-2</v>
      </c>
      <c r="AL23" s="29">
        <f t="shared" si="20"/>
        <v>7.4642740001202412E-2</v>
      </c>
      <c r="AM23" s="29">
        <f t="shared" si="20"/>
        <v>2.2831014536761618E-5</v>
      </c>
      <c r="AN23" s="29">
        <f t="shared" si="21"/>
        <v>-4.5838429230360411E-4</v>
      </c>
      <c r="AO23" s="30">
        <f t="shared" si="22"/>
        <v>-1.05752784792098</v>
      </c>
      <c r="AP23" s="30">
        <f t="shared" si="23"/>
        <v>-2.2682089451585341E-2</v>
      </c>
      <c r="AQ23" s="30">
        <f t="shared" si="24"/>
        <v>-4.0657998444382226E-6</v>
      </c>
    </row>
    <row r="24" spans="1:43" x14ac:dyDescent="0.35">
      <c r="A24">
        <v>21</v>
      </c>
      <c r="B24" t="s">
        <v>40</v>
      </c>
      <c r="C24">
        <v>15</v>
      </c>
      <c r="D24" s="15">
        <v>43408</v>
      </c>
      <c r="E24">
        <v>6.8698399999999999</v>
      </c>
      <c r="F24">
        <v>11.0778</v>
      </c>
      <c r="G24">
        <v>5.5964</v>
      </c>
      <c r="H24">
        <v>0.1792</v>
      </c>
      <c r="I24" s="5">
        <f t="shared" si="25"/>
        <v>23.723240000000001</v>
      </c>
      <c r="J24">
        <v>1.52118</v>
      </c>
      <c r="K24">
        <v>17.55969</v>
      </c>
      <c r="L24">
        <v>2.3437700000000001</v>
      </c>
      <c r="M24">
        <v>0.19250999875800001</v>
      </c>
      <c r="N24" s="2">
        <f t="shared" si="17"/>
        <v>21.42464</v>
      </c>
      <c r="O24" s="2">
        <f t="shared" si="18"/>
        <v>5.0912689588082552E-2</v>
      </c>
      <c r="P24" s="2"/>
      <c r="Q24" s="14">
        <v>0.90938408460096753</v>
      </c>
      <c r="R24">
        <f t="shared" si="0"/>
        <v>0.28958270455468982</v>
      </c>
      <c r="S24">
        <f t="shared" si="1"/>
        <v>0.46695982504919226</v>
      </c>
      <c r="T24">
        <f t="shared" si="2"/>
        <v>0.23590369612245207</v>
      </c>
      <c r="U24">
        <f t="shared" si="3"/>
        <v>7.5537742736658227E-3</v>
      </c>
      <c r="V24">
        <f t="shared" si="4"/>
        <v>7.100142639502928E-2</v>
      </c>
      <c r="W24">
        <f t="shared" si="5"/>
        <v>0.81960256975146373</v>
      </c>
      <c r="X24">
        <f t="shared" si="6"/>
        <v>0.10939600385350699</v>
      </c>
      <c r="Y24">
        <f t="shared" si="7"/>
        <v>8.9854484723197216E-3</v>
      </c>
      <c r="Z24" s="1">
        <f t="shared" si="19"/>
        <v>2.1135851072107137E-7</v>
      </c>
      <c r="AA24" s="1"/>
      <c r="AB24" s="17">
        <f t="shared" si="8"/>
        <v>6.6895698897710449</v>
      </c>
      <c r="AC24" s="19">
        <f t="shared" si="9"/>
        <v>10.609054059406839</v>
      </c>
      <c r="AD24" s="17">
        <f t="shared" si="10"/>
        <v>5.4767678313928858</v>
      </c>
      <c r="AE24" s="17">
        <f t="shared" si="11"/>
        <v>0.17907733900304176</v>
      </c>
      <c r="AF24" s="17">
        <f t="shared" si="12"/>
        <v>2.3670038366123691</v>
      </c>
      <c r="AG24" s="19">
        <f t="shared" si="13"/>
        <v>18.863831268450774</v>
      </c>
      <c r="AH24" s="19">
        <f t="shared" si="14"/>
        <v>1.5309670580099943</v>
      </c>
      <c r="AI24" s="19">
        <f t="shared" si="15"/>
        <v>0.19266674514216373</v>
      </c>
      <c r="AJ24" s="29">
        <f t="shared" si="20"/>
        <v>0.18027011022895501</v>
      </c>
      <c r="AK24" s="29">
        <f t="shared" si="20"/>
        <v>0.46874594059316088</v>
      </c>
      <c r="AL24" s="29">
        <f t="shared" si="20"/>
        <v>0.11963216860711423</v>
      </c>
      <c r="AM24" s="29">
        <f t="shared" si="20"/>
        <v>1.2266099695823485E-4</v>
      </c>
      <c r="AN24" s="29">
        <f t="shared" si="21"/>
        <v>-2.3233836612368997E-2</v>
      </c>
      <c r="AO24" s="30">
        <f t="shared" si="22"/>
        <v>-1.304141268450774</v>
      </c>
      <c r="AP24" s="30">
        <f t="shared" si="23"/>
        <v>-9.7870580099943538E-3</v>
      </c>
      <c r="AQ24" s="30">
        <f t="shared" si="24"/>
        <v>-1.56746384163714E-4</v>
      </c>
    </row>
    <row r="25" spans="1:43" x14ac:dyDescent="0.35">
      <c r="A25">
        <v>22</v>
      </c>
      <c r="B25" t="s">
        <v>40</v>
      </c>
      <c r="C25">
        <v>50</v>
      </c>
      <c r="D25" s="15">
        <v>43408</v>
      </c>
      <c r="E25">
        <v>20.60952</v>
      </c>
      <c r="F25">
        <v>22.5548</v>
      </c>
      <c r="G25">
        <v>21.8095</v>
      </c>
      <c r="H25">
        <v>0.1024</v>
      </c>
      <c r="I25" s="5">
        <f t="shared" si="25"/>
        <v>65.076220000000006</v>
      </c>
      <c r="J25">
        <v>1.71837</v>
      </c>
      <c r="K25">
        <v>59.365499999999997</v>
      </c>
      <c r="L25">
        <v>1.52427</v>
      </c>
      <c r="M25">
        <v>0.17824999885000001</v>
      </c>
      <c r="N25" s="2">
        <f t="shared" si="17"/>
        <v>62.608139999999999</v>
      </c>
      <c r="O25" s="2">
        <f t="shared" si="18"/>
        <v>1.9329540438625434E-2</v>
      </c>
      <c r="P25" s="2"/>
      <c r="Q25" s="14">
        <v>0.97065419514862883</v>
      </c>
      <c r="R25">
        <f t="shared" si="0"/>
        <v>0.31669817331123407</v>
      </c>
      <c r="S25">
        <f t="shared" si="1"/>
        <v>0.34659050571775679</v>
      </c>
      <c r="T25">
        <f t="shared" si="2"/>
        <v>0.33513778151220214</v>
      </c>
      <c r="U25">
        <f t="shared" si="3"/>
        <v>1.573539458806919E-3</v>
      </c>
      <c r="V25">
        <f t="shared" si="4"/>
        <v>2.7446431087075899E-2</v>
      </c>
      <c r="W25">
        <f t="shared" si="5"/>
        <v>0.94820737367377461</v>
      </c>
      <c r="X25">
        <f t="shared" si="6"/>
        <v>2.4346195239149413E-2</v>
      </c>
      <c r="Y25">
        <f t="shared" si="7"/>
        <v>2.8470738605235681E-3</v>
      </c>
      <c r="Z25" s="1">
        <f t="shared" si="19"/>
        <v>-1.7208456881689926E-15</v>
      </c>
      <c r="AA25" s="1"/>
      <c r="AB25" s="17">
        <f t="shared" si="8"/>
        <v>20.417980009888222</v>
      </c>
      <c r="AC25" s="19">
        <f t="shared" si="9"/>
        <v>22.325395640198586</v>
      </c>
      <c r="AD25" s="17">
        <f t="shared" si="10"/>
        <v>21.595006011590808</v>
      </c>
      <c r="AE25" s="17">
        <f t="shared" si="11"/>
        <v>0.10239527149753506</v>
      </c>
      <c r="AF25" s="17">
        <f t="shared" si="12"/>
        <v>1.5253590279540543</v>
      </c>
      <c r="AG25" s="19">
        <f t="shared" si="13"/>
        <v>61.017398973814977</v>
      </c>
      <c r="AH25" s="19">
        <f t="shared" si="14"/>
        <v>1.7197540398268372</v>
      </c>
      <c r="AI25" s="19">
        <f t="shared" si="15"/>
        <v>0.17826489157927811</v>
      </c>
      <c r="AJ25" s="29">
        <f t="shared" si="20"/>
        <v>0.19153999011177802</v>
      </c>
      <c r="AK25" s="29">
        <f t="shared" si="20"/>
        <v>0.22940435980141416</v>
      </c>
      <c r="AL25" s="29">
        <f t="shared" si="20"/>
        <v>0.21449398840919187</v>
      </c>
      <c r="AM25" s="29">
        <f t="shared" si="20"/>
        <v>4.7285024649401652E-6</v>
      </c>
      <c r="AN25" s="29">
        <f t="shared" si="21"/>
        <v>-1.0890279540543002E-3</v>
      </c>
      <c r="AO25" s="30">
        <f t="shared" si="22"/>
        <v>-1.6518989738149799</v>
      </c>
      <c r="AP25" s="30">
        <f t="shared" si="23"/>
        <v>-1.3840398268372134E-3</v>
      </c>
      <c r="AQ25" s="30">
        <f t="shared" si="24"/>
        <v>-1.4892729278098704E-5</v>
      </c>
    </row>
    <row r="26" spans="1:43" x14ac:dyDescent="0.35">
      <c r="A26">
        <v>23</v>
      </c>
      <c r="B26" t="s">
        <v>40</v>
      </c>
      <c r="C26">
        <v>100</v>
      </c>
      <c r="D26" s="15">
        <v>43408</v>
      </c>
      <c r="E26">
        <v>39.131999999999998</v>
      </c>
      <c r="F26">
        <v>21.0578</v>
      </c>
      <c r="G26">
        <v>26.500599999999999</v>
      </c>
      <c r="H26">
        <v>0.128</v>
      </c>
      <c r="I26" s="5">
        <f t="shared" si="25"/>
        <v>86.818399999999997</v>
      </c>
      <c r="J26">
        <v>3.9156300000000002</v>
      </c>
      <c r="K26">
        <v>75.737880000000004</v>
      </c>
      <c r="L26">
        <v>1.3603700000000001</v>
      </c>
      <c r="M26">
        <v>0.20676999866599999</v>
      </c>
      <c r="N26" s="2">
        <f t="shared" si="17"/>
        <v>81.013880000000015</v>
      </c>
      <c r="O26" s="2">
        <f t="shared" si="18"/>
        <v>3.4585241885529895E-2</v>
      </c>
      <c r="P26" s="2"/>
      <c r="Q26" s="14">
        <v>0.94504093919626253</v>
      </c>
      <c r="R26">
        <f t="shared" si="0"/>
        <v>0.45073394579950793</v>
      </c>
      <c r="S26">
        <f t="shared" si="1"/>
        <v>0.24254996636657669</v>
      </c>
      <c r="T26">
        <f t="shared" si="2"/>
        <v>0.30524174598932946</v>
      </c>
      <c r="U26">
        <f t="shared" si="3"/>
        <v>1.4743418445859404E-3</v>
      </c>
      <c r="V26">
        <f t="shared" si="4"/>
        <v>4.8332828893024253E-2</v>
      </c>
      <c r="W26">
        <f t="shared" si="5"/>
        <v>0.93487535716101966</v>
      </c>
      <c r="X26">
        <f t="shared" si="6"/>
        <v>1.6791813945955924E-2</v>
      </c>
      <c r="Y26">
        <f t="shared" si="7"/>
        <v>2.5522786794806018E-3</v>
      </c>
      <c r="Z26" s="1">
        <f t="shared" si="19"/>
        <v>9.6255319079197044E-7</v>
      </c>
      <c r="AA26" s="1"/>
      <c r="AB26" s="17">
        <f t="shared" si="8"/>
        <v>38.162625448301334</v>
      </c>
      <c r="AC26" s="19">
        <f t="shared" si="9"/>
        <v>20.777092822260212</v>
      </c>
      <c r="AD26" s="17">
        <f t="shared" si="10"/>
        <v>26.05603124306203</v>
      </c>
      <c r="AE26" s="17">
        <f t="shared" si="11"/>
        <v>0.12798962835928548</v>
      </c>
      <c r="AF26" s="17">
        <f t="shared" si="12"/>
        <v>1.3616254342192384</v>
      </c>
      <c r="AG26" s="19">
        <f t="shared" si="13"/>
        <v>79.629282549514443</v>
      </c>
      <c r="AH26" s="19">
        <f t="shared" si="14"/>
        <v>3.9260311932287637</v>
      </c>
      <c r="AI26" s="19">
        <f t="shared" si="15"/>
        <v>0.20679900246722052</v>
      </c>
      <c r="AJ26" s="29">
        <f t="shared" si="20"/>
        <v>0.96937455169866382</v>
      </c>
      <c r="AK26" s="29">
        <f t="shared" si="20"/>
        <v>0.2807071777397887</v>
      </c>
      <c r="AL26" s="29">
        <f t="shared" si="20"/>
        <v>0.4445687569379686</v>
      </c>
      <c r="AM26" s="29">
        <f t="shared" si="20"/>
        <v>1.0371640714518238E-5</v>
      </c>
      <c r="AN26" s="29">
        <f t="shared" si="21"/>
        <v>-1.2554342192383494E-3</v>
      </c>
      <c r="AO26" s="30">
        <f t="shared" si="22"/>
        <v>-3.8914025495144386</v>
      </c>
      <c r="AP26" s="30">
        <f t="shared" si="23"/>
        <v>-1.0401193228763539E-2</v>
      </c>
      <c r="AQ26" s="30">
        <f t="shared" si="24"/>
        <v>-2.9003801220534031E-5</v>
      </c>
    </row>
    <row r="27" spans="1:43" x14ac:dyDescent="0.35">
      <c r="A27">
        <v>24</v>
      </c>
      <c r="B27" t="s">
        <v>41</v>
      </c>
      <c r="C27">
        <v>15</v>
      </c>
      <c r="D27" s="15">
        <v>43336</v>
      </c>
      <c r="E27">
        <v>5.0436800000000002</v>
      </c>
      <c r="F27">
        <v>7.2854000000000001</v>
      </c>
      <c r="G27">
        <v>3.6212</v>
      </c>
      <c r="H27">
        <v>5.1200000000000002E-2</v>
      </c>
      <c r="I27" s="5">
        <f t="shared" si="25"/>
        <v>16.001480000000001</v>
      </c>
      <c r="J27">
        <v>0.61973999999999996</v>
      </c>
      <c r="K27">
        <v>12.810449999999999</v>
      </c>
      <c r="L27">
        <v>1.1636899999999999</v>
      </c>
      <c r="M27">
        <v>0.32084999793000002</v>
      </c>
      <c r="N27" s="2">
        <f t="shared" si="17"/>
        <v>14.593879999999999</v>
      </c>
      <c r="O27" s="2">
        <f t="shared" si="18"/>
        <v>4.6006976221231004E-2</v>
      </c>
      <c r="P27" s="2"/>
      <c r="Q27" s="14">
        <v>0.93643830527698679</v>
      </c>
      <c r="R27">
        <f t="shared" si="0"/>
        <v>0.3152008439219372</v>
      </c>
      <c r="S27">
        <f t="shared" si="1"/>
        <v>0.45529538517687113</v>
      </c>
      <c r="T27">
        <f t="shared" si="2"/>
        <v>0.22630406687381416</v>
      </c>
      <c r="U27">
        <f t="shared" si="3"/>
        <v>3.1997040273774677E-3</v>
      </c>
      <c r="V27">
        <f t="shared" si="4"/>
        <v>4.2465745915411121E-2</v>
      </c>
      <c r="W27">
        <f t="shared" si="5"/>
        <v>0.87779603505030879</v>
      </c>
      <c r="X27">
        <f t="shared" si="6"/>
        <v>7.9738219034280119E-2</v>
      </c>
      <c r="Y27">
        <f t="shared" si="7"/>
        <v>2.1985242987471464E-2</v>
      </c>
      <c r="Z27" s="1">
        <f t="shared" si="19"/>
        <v>-7.2719608112947753E-15</v>
      </c>
      <c r="AA27" s="1"/>
      <c r="AB27" s="17">
        <f t="shared" si="8"/>
        <v>4.9426313852229473</v>
      </c>
      <c r="AC27" s="19">
        <f t="shared" si="9"/>
        <v>7.0745652866014224</v>
      </c>
      <c r="AD27" s="17">
        <f t="shared" si="10"/>
        <v>3.5691116814281649</v>
      </c>
      <c r="AE27" s="17">
        <f t="shared" si="11"/>
        <v>5.1189587015137684E-2</v>
      </c>
      <c r="AF27" s="17">
        <f t="shared" si="12"/>
        <v>1.1695879257632555</v>
      </c>
      <c r="AG27" s="19">
        <f t="shared" si="13"/>
        <v>13.525198855622135</v>
      </c>
      <c r="AH27" s="19">
        <f t="shared" si="14"/>
        <v>0.62141279897175505</v>
      </c>
      <c r="AI27" s="19">
        <f t="shared" si="15"/>
        <v>0.32129835991053296</v>
      </c>
      <c r="AJ27" s="29">
        <f t="shared" si="20"/>
        <v>0.10104861477705285</v>
      </c>
      <c r="AK27" s="29">
        <f t="shared" si="20"/>
        <v>0.21083471339857773</v>
      </c>
      <c r="AL27" s="29">
        <f t="shared" si="20"/>
        <v>5.2088318571835046E-2</v>
      </c>
      <c r="AM27" s="29">
        <f t="shared" si="20"/>
        <v>1.0412984862318009E-5</v>
      </c>
      <c r="AN27" s="29">
        <f t="shared" si="21"/>
        <v>-5.8979257632556514E-3</v>
      </c>
      <c r="AO27" s="30">
        <f t="shared" si="22"/>
        <v>-0.71474885562213508</v>
      </c>
      <c r="AP27" s="30">
        <f t="shared" si="23"/>
        <v>-1.6727989717550962E-3</v>
      </c>
      <c r="AQ27" s="30">
        <f t="shared" si="24"/>
        <v>-4.4836198053294085E-4</v>
      </c>
    </row>
    <row r="28" spans="1:43" x14ac:dyDescent="0.35">
      <c r="A28">
        <v>25</v>
      </c>
      <c r="B28" t="s">
        <v>41</v>
      </c>
      <c r="C28">
        <v>15</v>
      </c>
      <c r="D28" s="15">
        <v>43336</v>
      </c>
      <c r="E28">
        <v>100.78664000000001</v>
      </c>
      <c r="F28">
        <v>20.758400000000002</v>
      </c>
      <c r="G28">
        <v>43.619</v>
      </c>
      <c r="H28">
        <v>0.76800000000000002</v>
      </c>
      <c r="I28" s="5">
        <f t="shared" si="25"/>
        <v>165.93204</v>
      </c>
      <c r="J28">
        <v>12.366630000000001</v>
      </c>
      <c r="K28">
        <v>144.22692000000001</v>
      </c>
      <c r="L28">
        <v>4.9497799999999996</v>
      </c>
      <c r="M28">
        <v>7.1299999540000006E-2</v>
      </c>
      <c r="N28" s="2">
        <f t="shared" si="17"/>
        <v>161.54333</v>
      </c>
      <c r="O28" s="2">
        <f t="shared" si="18"/>
        <v>1.3401649107229052E-2</v>
      </c>
      <c r="P28" s="2"/>
      <c r="Q28" s="14">
        <v>0.9789547947111048</v>
      </c>
      <c r="R28">
        <f t="shared" si="0"/>
        <v>0.60739710064433616</v>
      </c>
      <c r="S28">
        <f t="shared" si="1"/>
        <v>0.12510181879280216</v>
      </c>
      <c r="T28">
        <f t="shared" si="2"/>
        <v>0.26287267968259775</v>
      </c>
      <c r="U28">
        <f t="shared" si="3"/>
        <v>4.6284008802639923E-3</v>
      </c>
      <c r="V28">
        <f t="shared" si="4"/>
        <v>7.6553021409178579E-2</v>
      </c>
      <c r="W28">
        <f t="shared" si="5"/>
        <v>0.89280640680119694</v>
      </c>
      <c r="X28">
        <f t="shared" si="6"/>
        <v>3.0640571789624489E-2</v>
      </c>
      <c r="Y28">
        <f t="shared" si="7"/>
        <v>4.413676475531364E-4</v>
      </c>
      <c r="Z28" s="1">
        <f t="shared" si="19"/>
        <v>-7.7965411904301618E-14</v>
      </c>
      <c r="AA28" s="1"/>
      <c r="AB28" s="17">
        <f t="shared" si="8"/>
        <v>99.498304873329658</v>
      </c>
      <c r="AC28" s="19">
        <f t="shared" si="9"/>
        <v>20.703747420270897</v>
      </c>
      <c r="AD28" s="17">
        <f t="shared" si="10"/>
        <v>43.377690553437304</v>
      </c>
      <c r="AE28" s="17">
        <f t="shared" si="11"/>
        <v>0.76792519246334634</v>
      </c>
      <c r="AF28" s="17">
        <f t="shared" si="12"/>
        <v>4.9529718018970668</v>
      </c>
      <c r="AG28" s="19">
        <f t="shared" si="13"/>
        <v>146.93684201909002</v>
      </c>
      <c r="AH28" s="19">
        <f t="shared" si="14"/>
        <v>12.38655355669183</v>
      </c>
      <c r="AI28" s="19">
        <f t="shared" si="15"/>
        <v>7.130066182236286E-2</v>
      </c>
      <c r="AJ28" s="29">
        <f t="shared" si="20"/>
        <v>1.2883351266703471</v>
      </c>
      <c r="AK28" s="29">
        <f t="shared" si="20"/>
        <v>5.4652579729104644E-2</v>
      </c>
      <c r="AL28" s="29">
        <f t="shared" si="20"/>
        <v>0.24130944656269548</v>
      </c>
      <c r="AM28" s="29">
        <f t="shared" si="20"/>
        <v>7.480753665367601E-5</v>
      </c>
      <c r="AN28" s="29">
        <f t="shared" si="21"/>
        <v>-3.1918018970671369E-3</v>
      </c>
      <c r="AO28" s="30">
        <f t="shared" si="22"/>
        <v>-2.7099220190900155</v>
      </c>
      <c r="AP28" s="30">
        <f t="shared" si="23"/>
        <v>-1.9923556691828992E-2</v>
      </c>
      <c r="AQ28" s="30">
        <f t="shared" si="24"/>
        <v>-6.6228236285381659E-7</v>
      </c>
    </row>
    <row r="29" spans="1:43" x14ac:dyDescent="0.35">
      <c r="A29">
        <v>26</v>
      </c>
      <c r="B29" t="s">
        <v>41</v>
      </c>
      <c r="C29">
        <v>50</v>
      </c>
      <c r="D29" s="15">
        <v>43336</v>
      </c>
      <c r="E29">
        <v>154.74531999999999</v>
      </c>
      <c r="F29">
        <v>19.411100000000001</v>
      </c>
      <c r="G29">
        <v>47.240200000000002</v>
      </c>
      <c r="H29">
        <v>0.94720000000000004</v>
      </c>
      <c r="I29" s="5">
        <f t="shared" si="25"/>
        <v>222.34381999999999</v>
      </c>
      <c r="J29">
        <v>19.521809999999999</v>
      </c>
      <c r="K29">
        <v>197.96832000000001</v>
      </c>
      <c r="L29">
        <v>1.8848499999999999</v>
      </c>
      <c r="M29">
        <v>0.60604999608999999</v>
      </c>
      <c r="N29" s="2">
        <f t="shared" si="17"/>
        <v>219.37497999999999</v>
      </c>
      <c r="O29" s="2">
        <f t="shared" si="18"/>
        <v>6.7211085423577177E-3</v>
      </c>
      <c r="P29" s="2"/>
      <c r="Q29" s="14">
        <v>0.99211982343482219</v>
      </c>
      <c r="R29">
        <f t="shared" si="0"/>
        <v>0.69597311047367993</v>
      </c>
      <c r="S29">
        <f t="shared" si="1"/>
        <v>8.7302179120607004E-2</v>
      </c>
      <c r="T29">
        <f t="shared" si="2"/>
        <v>0.21246464147283251</v>
      </c>
      <c r="U29">
        <f t="shared" si="3"/>
        <v>4.260068932880617E-3</v>
      </c>
      <c r="V29">
        <f t="shared" si="4"/>
        <v>8.898831580520257E-2</v>
      </c>
      <c r="W29">
        <f t="shared" si="5"/>
        <v>0.90241977457958067</v>
      </c>
      <c r="X29">
        <f t="shared" si="6"/>
        <v>8.5919096152168306E-3</v>
      </c>
      <c r="Y29">
        <f t="shared" si="7"/>
        <v>2.7626213166606329E-3</v>
      </c>
      <c r="Z29" s="1">
        <f t="shared" si="19"/>
        <v>5.5067062021407764E-14</v>
      </c>
      <c r="AA29" s="1"/>
      <c r="AB29" s="17">
        <f t="shared" si="8"/>
        <v>153.89663616045061</v>
      </c>
      <c r="AC29" s="19">
        <f t="shared" si="9"/>
        <v>19.397746005913589</v>
      </c>
      <c r="AD29" s="17">
        <f t="shared" si="10"/>
        <v>47.161107675247777</v>
      </c>
      <c r="AE29" s="17">
        <f t="shared" si="11"/>
        <v>0.94716820240566468</v>
      </c>
      <c r="AF29" s="17">
        <f t="shared" si="12"/>
        <v>1.8849776152107831</v>
      </c>
      <c r="AG29" s="19">
        <f t="shared" si="13"/>
        <v>199.37611769392339</v>
      </c>
      <c r="AH29" s="19">
        <f t="shared" si="14"/>
        <v>19.535499545119066</v>
      </c>
      <c r="AI29" s="19">
        <f t="shared" si="15"/>
        <v>0.60606318976432938</v>
      </c>
      <c r="AJ29" s="29">
        <f t="shared" si="20"/>
        <v>0.84868383954938054</v>
      </c>
      <c r="AK29" s="29">
        <f t="shared" si="20"/>
        <v>1.3353994086411802E-2</v>
      </c>
      <c r="AL29" s="29">
        <f t="shared" si="20"/>
        <v>7.9092324752224386E-2</v>
      </c>
      <c r="AM29" s="29">
        <f t="shared" si="20"/>
        <v>3.1797594335358781E-5</v>
      </c>
      <c r="AN29" s="29">
        <f t="shared" si="21"/>
        <v>-1.2761521078319404E-4</v>
      </c>
      <c r="AO29" s="30">
        <f t="shared" si="22"/>
        <v>-1.4077976939233849</v>
      </c>
      <c r="AP29" s="30">
        <f t="shared" si="23"/>
        <v>-1.3689545119067503E-2</v>
      </c>
      <c r="AQ29" s="30">
        <f t="shared" si="24"/>
        <v>-1.3193674329392557E-5</v>
      </c>
    </row>
    <row r="30" spans="1:43" x14ac:dyDescent="0.35">
      <c r="A30">
        <v>27</v>
      </c>
      <c r="B30" t="s">
        <v>41</v>
      </c>
      <c r="C30">
        <v>100</v>
      </c>
      <c r="D30" s="15">
        <v>43336</v>
      </c>
      <c r="E30">
        <v>234.48764</v>
      </c>
      <c r="F30">
        <v>25.798300000000001</v>
      </c>
      <c r="G30">
        <v>70.119600000000005</v>
      </c>
      <c r="H30">
        <v>1.1776</v>
      </c>
      <c r="I30" s="5">
        <f t="shared" si="25"/>
        <v>331.58313999999996</v>
      </c>
      <c r="J30">
        <v>31.69125</v>
      </c>
      <c r="K30">
        <v>307.95071999999999</v>
      </c>
      <c r="L30">
        <v>2.5404499999999999</v>
      </c>
      <c r="M30">
        <v>0.29232999811400001</v>
      </c>
      <c r="N30" s="2">
        <f t="shared" si="17"/>
        <v>342.18242000000004</v>
      </c>
      <c r="O30" s="2">
        <f t="shared" si="18"/>
        <v>-1.5731406633488477E-2</v>
      </c>
      <c r="P30" s="2"/>
      <c r="Q30" s="14">
        <v>1.0235361309697473</v>
      </c>
      <c r="R30">
        <f t="shared" si="0"/>
        <v>0.7071760041840488</v>
      </c>
      <c r="S30">
        <f t="shared" si="1"/>
        <v>7.7803413044463005E-2</v>
      </c>
      <c r="T30">
        <f t="shared" si="2"/>
        <v>0.21146913561407257</v>
      </c>
      <c r="U30">
        <f t="shared" si="3"/>
        <v>3.5514471574157845E-3</v>
      </c>
      <c r="V30">
        <f t="shared" si="4"/>
        <v>9.2615073562224495E-2</v>
      </c>
      <c r="W30">
        <f t="shared" si="5"/>
        <v>0.89996067010105296</v>
      </c>
      <c r="X30">
        <f t="shared" si="6"/>
        <v>7.4242563367223824E-3</v>
      </c>
      <c r="Y30">
        <f t="shared" si="7"/>
        <v>8.5431039418681996E-4</v>
      </c>
      <c r="Z30" s="1">
        <f t="shared" si="19"/>
        <v>-1.155742168634788E-13</v>
      </c>
      <c r="AA30" s="1"/>
      <c r="AB30" s="17">
        <f t="shared" si="8"/>
        <v>238.39049614180897</v>
      </c>
      <c r="AC30" s="19">
        <f t="shared" si="9"/>
        <v>25.845541623012902</v>
      </c>
      <c r="AD30" s="17">
        <f t="shared" si="10"/>
        <v>70.468596837997566</v>
      </c>
      <c r="AE30" s="17">
        <f t="shared" si="11"/>
        <v>1.1776984324344253</v>
      </c>
      <c r="AF30" s="17">
        <f t="shared" si="12"/>
        <v>2.5400060861632636</v>
      </c>
      <c r="AG30" s="19">
        <f t="shared" si="13"/>
        <v>301.42783343153462</v>
      </c>
      <c r="AH30" s="19">
        <f t="shared" si="14"/>
        <v>31.622169397368459</v>
      </c>
      <c r="AI30" s="19">
        <f t="shared" si="15"/>
        <v>0.29232412018756737</v>
      </c>
      <c r="AJ30" s="29">
        <f t="shared" si="20"/>
        <v>-3.902856141808968</v>
      </c>
      <c r="AK30" s="29">
        <f t="shared" si="20"/>
        <v>-4.7241623012901357E-2</v>
      </c>
      <c r="AL30" s="29">
        <f t="shared" si="20"/>
        <v>-0.34899683799756076</v>
      </c>
      <c r="AM30" s="29">
        <f t="shared" si="20"/>
        <v>-9.8432434425310689E-5</v>
      </c>
      <c r="AN30" s="29">
        <f t="shared" si="21"/>
        <v>4.4391383673625384E-4</v>
      </c>
      <c r="AO30" s="30">
        <f t="shared" si="22"/>
        <v>6.522886568465367</v>
      </c>
      <c r="AP30" s="30">
        <f t="shared" si="23"/>
        <v>6.90806026315407E-2</v>
      </c>
      <c r="AQ30" s="30">
        <f t="shared" si="24"/>
        <v>5.8779264326402902E-6</v>
      </c>
    </row>
    <row r="31" spans="1:43" x14ac:dyDescent="0.35">
      <c r="A31">
        <v>28</v>
      </c>
      <c r="B31" t="s">
        <v>33</v>
      </c>
      <c r="C31">
        <v>30</v>
      </c>
      <c r="D31" s="15">
        <v>42932</v>
      </c>
      <c r="E31">
        <v>4.8262799999999997</v>
      </c>
      <c r="F31">
        <v>9.5808</v>
      </c>
      <c r="G31">
        <v>3.6212</v>
      </c>
      <c r="H31">
        <v>0.1792</v>
      </c>
      <c r="I31" s="5">
        <f t="shared" si="25"/>
        <v>18.207480000000004</v>
      </c>
      <c r="J31">
        <v>1.6338600000000001</v>
      </c>
      <c r="K31">
        <v>12.06057</v>
      </c>
      <c r="L31">
        <v>10.866569999999999</v>
      </c>
      <c r="M31">
        <v>0.19250999875800001</v>
      </c>
      <c r="N31" s="2">
        <f t="shared" si="17"/>
        <v>24.561</v>
      </c>
      <c r="O31" s="2">
        <f t="shared" si="18"/>
        <v>-0.14855613292780093</v>
      </c>
      <c r="P31" s="2"/>
      <c r="Q31" s="14">
        <v>1.3660495064722247</v>
      </c>
      <c r="R31">
        <f t="shared" si="0"/>
        <v>0.26507127839766947</v>
      </c>
      <c r="S31">
        <f t="shared" si="1"/>
        <v>0.52620131945771731</v>
      </c>
      <c r="T31">
        <f t="shared" si="2"/>
        <v>0.19888529329704052</v>
      </c>
      <c r="U31">
        <f t="shared" si="3"/>
        <v>9.8421088475725334E-3</v>
      </c>
      <c r="V31">
        <f t="shared" si="4"/>
        <v>6.652253572737267E-2</v>
      </c>
      <c r="W31">
        <f t="shared" si="5"/>
        <v>0.49104556003420058</v>
      </c>
      <c r="X31">
        <f t="shared" si="6"/>
        <v>0.44243190423842677</v>
      </c>
      <c r="Y31">
        <f t="shared" si="7"/>
        <v>7.8380358600219861E-3</v>
      </c>
      <c r="Z31" s="1">
        <f t="shared" si="19"/>
        <v>-5.8286708792820718E-16</v>
      </c>
      <c r="AA31" s="1"/>
      <c r="AB31" s="17">
        <f t="shared" si="8"/>
        <v>5.2945701387152084</v>
      </c>
      <c r="AC31" s="19">
        <f t="shared" si="9"/>
        <v>11.42621281752908</v>
      </c>
      <c r="AD31" s="17">
        <f t="shared" si="10"/>
        <v>3.8848301079467413</v>
      </c>
      <c r="AE31" s="17">
        <f t="shared" si="11"/>
        <v>0.17984560367626493</v>
      </c>
      <c r="AF31" s="17">
        <f t="shared" si="12"/>
        <v>9.1067074705828208</v>
      </c>
      <c r="AG31" s="19">
        <f t="shared" si="13"/>
        <v>9.8927189062534939</v>
      </c>
      <c r="AH31" s="19">
        <f t="shared" si="14"/>
        <v>1.5940746244734774</v>
      </c>
      <c r="AI31" s="19">
        <f t="shared" si="15"/>
        <v>0.19195766655750438</v>
      </c>
      <c r="AJ31" s="29">
        <f t="shared" si="20"/>
        <v>-0.46829013871520875</v>
      </c>
      <c r="AK31" s="29">
        <f t="shared" si="20"/>
        <v>-1.8454128175290805</v>
      </c>
      <c r="AL31" s="29">
        <f t="shared" si="20"/>
        <v>-0.26363010794674135</v>
      </c>
      <c r="AM31" s="29">
        <f t="shared" si="20"/>
        <v>-6.4560367626492754E-4</v>
      </c>
      <c r="AN31" s="29">
        <f t="shared" si="21"/>
        <v>1.7598625294171786</v>
      </c>
      <c r="AO31" s="30">
        <f t="shared" si="22"/>
        <v>2.1678510937465063</v>
      </c>
      <c r="AP31" s="30">
        <f t="shared" si="23"/>
        <v>3.9785375526522726E-2</v>
      </c>
      <c r="AQ31" s="30">
        <f t="shared" si="24"/>
        <v>5.5233220049563658E-4</v>
      </c>
    </row>
    <row r="32" spans="1:43" x14ac:dyDescent="0.35">
      <c r="A32">
        <v>29</v>
      </c>
      <c r="B32" t="s">
        <v>33</v>
      </c>
      <c r="C32">
        <v>120</v>
      </c>
      <c r="D32" s="15">
        <v>42932</v>
      </c>
      <c r="E32">
        <v>25.131440000000001</v>
      </c>
      <c r="F32">
        <v>22.405100000000001</v>
      </c>
      <c r="G32">
        <v>17.859100000000002</v>
      </c>
      <c r="H32">
        <v>0.128</v>
      </c>
      <c r="I32" s="5">
        <f t="shared" si="25"/>
        <v>65.52364</v>
      </c>
      <c r="J32">
        <v>2.45079</v>
      </c>
      <c r="K32">
        <v>58.990560000000002</v>
      </c>
      <c r="L32">
        <v>33.222529999999999</v>
      </c>
      <c r="M32">
        <v>4.2779999723999998E-2</v>
      </c>
      <c r="N32" s="2">
        <f t="shared" si="17"/>
        <v>94.663880000000006</v>
      </c>
      <c r="O32" s="2">
        <f t="shared" si="18"/>
        <v>-0.18191329761519501</v>
      </c>
      <c r="P32" s="2"/>
      <c r="Q32" s="14">
        <v>1.4130550495917871</v>
      </c>
      <c r="R32">
        <f t="shared" si="0"/>
        <v>0.38354767836463299</v>
      </c>
      <c r="S32">
        <f t="shared" si="1"/>
        <v>0.34193918408684254</v>
      </c>
      <c r="T32">
        <f t="shared" si="2"/>
        <v>0.27255964412233513</v>
      </c>
      <c r="U32">
        <f t="shared" si="3"/>
        <v>1.9534934261893878E-3</v>
      </c>
      <c r="V32">
        <f t="shared" si="4"/>
        <v>2.5889388856657893E-2</v>
      </c>
      <c r="W32">
        <f t="shared" si="5"/>
        <v>0.62315806197675394</v>
      </c>
      <c r="X32">
        <f t="shared" si="6"/>
        <v>0.35095254916658813</v>
      </c>
      <c r="Y32">
        <f t="shared" si="7"/>
        <v>4.5191470837662682E-4</v>
      </c>
      <c r="Z32" s="1">
        <f t="shared" si="19"/>
        <v>9.9834667514203668E-7</v>
      </c>
      <c r="AA32" s="1"/>
      <c r="AB32" s="17">
        <f t="shared" si="8"/>
        <v>29.112921186262604</v>
      </c>
      <c r="AC32" s="19">
        <f t="shared" si="9"/>
        <v>25.569589751248063</v>
      </c>
      <c r="AD32" s="17">
        <f t="shared" si="10"/>
        <v>19.869715648605737</v>
      </c>
      <c r="AE32" s="17">
        <f t="shared" si="11"/>
        <v>0.12810328324147607</v>
      </c>
      <c r="AF32" s="17">
        <f t="shared" si="12"/>
        <v>28.406501599527559</v>
      </c>
      <c r="AG32" s="19">
        <f t="shared" si="13"/>
        <v>43.806473375228322</v>
      </c>
      <c r="AH32" s="19">
        <f t="shared" si="14"/>
        <v>2.4245818820878742</v>
      </c>
      <c r="AI32" s="19">
        <f t="shared" si="15"/>
        <v>4.2772014167446991E-2</v>
      </c>
      <c r="AJ32" s="29">
        <f t="shared" si="20"/>
        <v>-3.9814811862626023</v>
      </c>
      <c r="AK32" s="29">
        <f t="shared" si="20"/>
        <v>-3.1644897512480625</v>
      </c>
      <c r="AL32" s="29">
        <f t="shared" si="20"/>
        <v>-2.0106156486057358</v>
      </c>
      <c r="AM32" s="29">
        <f t="shared" si="20"/>
        <v>-1.0328324147607093E-4</v>
      </c>
      <c r="AN32" s="29">
        <f t="shared" si="21"/>
        <v>4.8160284004724403</v>
      </c>
      <c r="AO32" s="30">
        <f t="shared" si="22"/>
        <v>15.18408662477168</v>
      </c>
      <c r="AP32" s="30">
        <f t="shared" si="23"/>
        <v>2.620811791212585E-2</v>
      </c>
      <c r="AQ32" s="30">
        <f t="shared" si="24"/>
        <v>7.9855565530070893E-6</v>
      </c>
    </row>
    <row r="33" spans="1:43" x14ac:dyDescent="0.35">
      <c r="A33">
        <v>30</v>
      </c>
      <c r="B33" t="s">
        <v>34</v>
      </c>
      <c r="C33">
        <v>30</v>
      </c>
      <c r="D33" s="15">
        <v>42932</v>
      </c>
      <c r="E33">
        <v>3.6958000000000002</v>
      </c>
      <c r="F33">
        <v>6.5868000000000002</v>
      </c>
      <c r="G33">
        <v>2.7982</v>
      </c>
      <c r="H33">
        <v>0.128</v>
      </c>
      <c r="I33" s="5">
        <f t="shared" si="25"/>
        <v>13.2088</v>
      </c>
      <c r="J33">
        <v>1.29582</v>
      </c>
      <c r="K33">
        <v>6.0615300000000003</v>
      </c>
      <c r="L33">
        <v>7.7360800000000003</v>
      </c>
      <c r="M33">
        <v>2.1389999861999999E-2</v>
      </c>
      <c r="N33" s="2">
        <f t="shared" si="17"/>
        <v>15.093430000000001</v>
      </c>
      <c r="O33" s="2">
        <f t="shared" si="18"/>
        <v>-6.6589452491906162E-2</v>
      </c>
      <c r="P33" s="2"/>
      <c r="Q33" s="14">
        <v>1.1668520152586144</v>
      </c>
      <c r="R33">
        <f t="shared" si="0"/>
        <v>0.27979831627399915</v>
      </c>
      <c r="S33">
        <f t="shared" si="1"/>
        <v>0.4986675549633578</v>
      </c>
      <c r="T33">
        <f t="shared" si="2"/>
        <v>0.21184361940524499</v>
      </c>
      <c r="U33">
        <f t="shared" si="3"/>
        <v>9.6905093573980989E-3</v>
      </c>
      <c r="V33">
        <f t="shared" si="4"/>
        <v>8.5853248731401668E-2</v>
      </c>
      <c r="W33">
        <f t="shared" si="5"/>
        <v>0.40160056395398525</v>
      </c>
      <c r="X33">
        <f t="shared" si="6"/>
        <v>0.51254618731461299</v>
      </c>
      <c r="Y33">
        <f t="shared" si="7"/>
        <v>1.4171728932389786E-3</v>
      </c>
      <c r="Z33" s="1">
        <f t="shared" si="19"/>
        <v>-5.8980598183211441E-17</v>
      </c>
      <c r="AA33" s="1"/>
      <c r="AB33" s="17">
        <f t="shared" si="8"/>
        <v>3.8683381012299183</v>
      </c>
      <c r="AC33" s="19">
        <f t="shared" si="9"/>
        <v>7.1348460421705013</v>
      </c>
      <c r="AD33" s="17">
        <f t="shared" si="10"/>
        <v>2.8971066737261717</v>
      </c>
      <c r="AE33" s="17">
        <f t="shared" si="11"/>
        <v>0.12820696076994106</v>
      </c>
      <c r="AF33" s="17">
        <f t="shared" si="12"/>
        <v>7.0744953564847322</v>
      </c>
      <c r="AG33" s="19">
        <f t="shared" si="13"/>
        <v>5.6553598256151671</v>
      </c>
      <c r="AH33" s="19">
        <f t="shared" si="14"/>
        <v>1.277257653774498</v>
      </c>
      <c r="AI33" s="19">
        <f t="shared" si="15"/>
        <v>2.1384942022135537E-2</v>
      </c>
      <c r="AJ33" s="29">
        <f t="shared" si="20"/>
        <v>-0.17253810122991808</v>
      </c>
      <c r="AK33" s="29">
        <f t="shared" si="20"/>
        <v>-0.54804604217050112</v>
      </c>
      <c r="AL33" s="29">
        <f t="shared" si="20"/>
        <v>-9.8906673726171679E-2</v>
      </c>
      <c r="AM33" s="29">
        <f t="shared" si="20"/>
        <v>-2.0696076994106138E-4</v>
      </c>
      <c r="AN33" s="29">
        <f t="shared" si="21"/>
        <v>0.66158464351526813</v>
      </c>
      <c r="AO33" s="30">
        <f t="shared" si="22"/>
        <v>0.40617017438483316</v>
      </c>
      <c r="AP33" s="30">
        <f t="shared" si="23"/>
        <v>1.8562346225502013E-2</v>
      </c>
      <c r="AQ33" s="30">
        <f t="shared" si="24"/>
        <v>5.0578398644619826E-6</v>
      </c>
    </row>
    <row r="34" spans="1:43" x14ac:dyDescent="0.35">
      <c r="A34">
        <v>31</v>
      </c>
      <c r="B34" t="s">
        <v>34</v>
      </c>
      <c r="C34">
        <v>120</v>
      </c>
      <c r="D34" s="15">
        <v>42932</v>
      </c>
      <c r="E34">
        <v>5.0871599999999999</v>
      </c>
      <c r="F34">
        <v>9.4809999999999999</v>
      </c>
      <c r="G34">
        <v>4.0327000000000002</v>
      </c>
      <c r="H34">
        <v>0.1024</v>
      </c>
      <c r="I34" s="5">
        <f t="shared" si="25"/>
        <v>18.703259999999997</v>
      </c>
      <c r="J34">
        <v>1.1549700000000001</v>
      </c>
      <c r="K34">
        <v>15.060090000000001</v>
      </c>
      <c r="L34">
        <v>11.12881</v>
      </c>
      <c r="M34">
        <v>7.1299999540000002E-3</v>
      </c>
      <c r="N34" s="2">
        <f t="shared" si="17"/>
        <v>27.343870000000003</v>
      </c>
      <c r="O34" s="2">
        <f t="shared" si="18"/>
        <v>-0.18764709114335695</v>
      </c>
      <c r="P34" s="2"/>
      <c r="Q34" s="14">
        <v>1.4338497082291515</v>
      </c>
      <c r="R34">
        <f t="shared" si="0"/>
        <v>0.27199322471055853</v>
      </c>
      <c r="S34">
        <f t="shared" si="1"/>
        <v>0.50691697597103402</v>
      </c>
      <c r="T34">
        <f t="shared" si="2"/>
        <v>0.21561481795152293</v>
      </c>
      <c r="U34">
        <f t="shared" si="3"/>
        <v>5.4749813668847043E-3</v>
      </c>
      <c r="V34">
        <f t="shared" si="4"/>
        <v>4.2238717489514098E-2</v>
      </c>
      <c r="W34">
        <f t="shared" si="5"/>
        <v>0.55076658863577099</v>
      </c>
      <c r="X34">
        <f t="shared" si="6"/>
        <v>0.40699469387471482</v>
      </c>
      <c r="Y34">
        <f t="shared" si="7"/>
        <v>2.6075313969822121E-4</v>
      </c>
      <c r="Z34" s="1">
        <f t="shared" si="19"/>
        <v>-1.1501216645726231E-15</v>
      </c>
      <c r="AA34" s="1"/>
      <c r="AB34" s="17">
        <f t="shared" si="8"/>
        <v>5.6874661503366433</v>
      </c>
      <c r="AC34" s="19">
        <f t="shared" si="9"/>
        <v>11.566116340293343</v>
      </c>
      <c r="AD34" s="17">
        <f t="shared" si="10"/>
        <v>4.4099366061581611</v>
      </c>
      <c r="AE34" s="17">
        <f t="shared" si="11"/>
        <v>0.10264323267262289</v>
      </c>
      <c r="AF34" s="17">
        <f t="shared" si="12"/>
        <v>9.1637456138233109</v>
      </c>
      <c r="AG34" s="19">
        <f t="shared" si="13"/>
        <v>11.461482642350026</v>
      </c>
      <c r="AH34" s="19">
        <f t="shared" si="14"/>
        <v>1.1338048799337448</v>
      </c>
      <c r="AI34" s="19">
        <f t="shared" si="15"/>
        <v>7.1291933536925933E-3</v>
      </c>
      <c r="AJ34" s="29">
        <f t="shared" si="20"/>
        <v>-0.60030615033664336</v>
      </c>
      <c r="AK34" s="29">
        <f t="shared" si="20"/>
        <v>-2.085116340293343</v>
      </c>
      <c r="AL34" s="29">
        <f t="shared" si="20"/>
        <v>-0.3772366061581609</v>
      </c>
      <c r="AM34" s="29">
        <f t="shared" si="20"/>
        <v>-2.4323267262288395E-4</v>
      </c>
      <c r="AN34" s="29">
        <f t="shared" si="21"/>
        <v>1.9650643861766888</v>
      </c>
      <c r="AO34" s="30">
        <f t="shared" si="22"/>
        <v>3.5986073576499749</v>
      </c>
      <c r="AP34" s="30">
        <f t="shared" si="23"/>
        <v>2.1165120066255261E-2</v>
      </c>
      <c r="AQ34" s="30">
        <f t="shared" si="24"/>
        <v>8.0660030740697941E-7</v>
      </c>
    </row>
    <row r="35" spans="1:43" x14ac:dyDescent="0.35">
      <c r="A35">
        <v>32</v>
      </c>
      <c r="B35" t="s">
        <v>35</v>
      </c>
      <c r="C35">
        <v>30</v>
      </c>
      <c r="D35" s="15">
        <v>42932</v>
      </c>
      <c r="E35">
        <v>7.4785599999999999</v>
      </c>
      <c r="F35">
        <v>16.267399999999999</v>
      </c>
      <c r="G35">
        <v>6.7485999999999997</v>
      </c>
      <c r="H35">
        <v>0.25600000000000001</v>
      </c>
      <c r="I35" s="5">
        <f t="shared" si="25"/>
        <v>30.750559999999997</v>
      </c>
      <c r="J35">
        <v>1.8873899999999999</v>
      </c>
      <c r="K35">
        <v>24.433589999999999</v>
      </c>
      <c r="L35">
        <v>18.963229999999999</v>
      </c>
      <c r="M35">
        <v>2.1389999861999999E-2</v>
      </c>
      <c r="N35" s="2">
        <f t="shared" si="17"/>
        <v>45.284210000000002</v>
      </c>
      <c r="O35" s="2">
        <f t="shared" si="18"/>
        <v>-0.19114478810154889</v>
      </c>
      <c r="P35" s="2"/>
      <c r="Q35" s="14">
        <v>1.4395863816181749</v>
      </c>
      <c r="R35">
        <f t="shared" si="0"/>
        <v>0.24320077422980266</v>
      </c>
      <c r="S35">
        <f t="shared" si="1"/>
        <v>0.52901150418073684</v>
      </c>
      <c r="T35">
        <f t="shared" si="2"/>
        <v>0.21946266994812455</v>
      </c>
      <c r="U35">
        <f t="shared" si="3"/>
        <v>8.3250516413359635E-3</v>
      </c>
      <c r="V35">
        <f t="shared" si="4"/>
        <v>4.1678766174788072E-2</v>
      </c>
      <c r="W35">
        <f t="shared" si="5"/>
        <v>0.53956091979963872</v>
      </c>
      <c r="X35">
        <f t="shared" si="6"/>
        <v>0.41876031402557312</v>
      </c>
      <c r="Y35">
        <f t="shared" si="7"/>
        <v>4.7235007217747641E-4</v>
      </c>
      <c r="Z35" s="1">
        <f t="shared" si="19"/>
        <v>4.7665802225052567E-7</v>
      </c>
      <c r="AA35" s="1"/>
      <c r="AB35" s="17">
        <f t="shared" si="8"/>
        <v>8.2780760105034989</v>
      </c>
      <c r="AC35" s="19">
        <f t="shared" si="9"/>
        <v>20.05032291535592</v>
      </c>
      <c r="AD35" s="17">
        <f t="shared" si="10"/>
        <v>7.3996563447122528</v>
      </c>
      <c r="AE35" s="17">
        <f t="shared" si="11"/>
        <v>0.25693685230791663</v>
      </c>
      <c r="AF35" s="17">
        <f t="shared" si="12"/>
        <v>15.472453377600456</v>
      </c>
      <c r="AG35" s="19">
        <f t="shared" si="13"/>
        <v>18.638342371293717</v>
      </c>
      <c r="AH35" s="19">
        <f t="shared" si="14"/>
        <v>1.8528103388562833</v>
      </c>
      <c r="AI35" s="19">
        <f t="shared" si="15"/>
        <v>2.1385558471110813E-2</v>
      </c>
      <c r="AJ35" s="29">
        <f t="shared" si="20"/>
        <v>-0.79951601050349907</v>
      </c>
      <c r="AK35" s="29">
        <f t="shared" si="20"/>
        <v>-3.7829229153559218</v>
      </c>
      <c r="AL35" s="29">
        <f t="shared" si="20"/>
        <v>-0.65105634471225304</v>
      </c>
      <c r="AM35" s="29">
        <f t="shared" si="20"/>
        <v>-9.3685230791662466E-4</v>
      </c>
      <c r="AN35" s="29">
        <f t="shared" si="21"/>
        <v>3.4907766223995438</v>
      </c>
      <c r="AO35" s="30">
        <f t="shared" si="22"/>
        <v>5.7952476287062815</v>
      </c>
      <c r="AP35" s="30">
        <f t="shared" si="23"/>
        <v>3.4579661143716578E-2</v>
      </c>
      <c r="AQ35" s="30">
        <f t="shared" si="24"/>
        <v>4.441390889186464E-6</v>
      </c>
    </row>
    <row r="36" spans="1:43" x14ac:dyDescent="0.35">
      <c r="A36">
        <v>33</v>
      </c>
      <c r="B36" t="s">
        <v>35</v>
      </c>
      <c r="C36">
        <v>60</v>
      </c>
      <c r="D36" s="15">
        <v>42932</v>
      </c>
      <c r="E36">
        <v>32.262160000000002</v>
      </c>
      <c r="F36">
        <v>26.6965</v>
      </c>
      <c r="G36">
        <v>24.525400000000001</v>
      </c>
      <c r="H36">
        <v>0.33279999999999998</v>
      </c>
      <c r="I36" s="5">
        <f t="shared" si="25"/>
        <v>83.816860000000005</v>
      </c>
      <c r="J36">
        <v>5.3241300000000003</v>
      </c>
      <c r="K36">
        <v>75.175470000000004</v>
      </c>
      <c r="L36">
        <v>42.26981</v>
      </c>
      <c r="M36">
        <v>4.9909999678E-2</v>
      </c>
      <c r="N36" s="2">
        <f t="shared" si="17"/>
        <v>122.76940999999999</v>
      </c>
      <c r="O36" s="2">
        <f t="shared" si="18"/>
        <v>-0.18855343097099331</v>
      </c>
      <c r="P36" s="2"/>
      <c r="Q36" s="14">
        <v>1.4386459339544402</v>
      </c>
      <c r="R36">
        <f t="shared" ref="R36:R58" si="26">E36/I36</f>
        <v>0.38491253430395744</v>
      </c>
      <c r="S36">
        <f t="shared" ref="S36:S58" si="27">F36/I36</f>
        <v>0.31850990361605053</v>
      </c>
      <c r="T36">
        <f t="shared" ref="T36:T58" si="28">G36/I36</f>
        <v>0.29260700054857697</v>
      </c>
      <c r="U36">
        <f t="shared" ref="U36:U58" si="29">H36/I36</f>
        <v>3.9705615314150396E-3</v>
      </c>
      <c r="V36">
        <f t="shared" ref="V36:V58" si="30">J36/N36</f>
        <v>4.3366910372868946E-2</v>
      </c>
      <c r="W36">
        <f t="shared" ref="W36:W58" si="31">K36/N36</f>
        <v>0.61233062861505982</v>
      </c>
      <c r="X36">
        <f t="shared" ref="X36:X58" si="32">L36/N36</f>
        <v>0.34430246101207135</v>
      </c>
      <c r="Y36">
        <f t="shared" ref="Y36:Y58" si="33">M36/N36</f>
        <v>4.0653449159688886E-4</v>
      </c>
      <c r="Z36" s="1">
        <f t="shared" si="19"/>
        <v>1.27918047476E-6</v>
      </c>
      <c r="AA36" s="1"/>
      <c r="AB36" s="17">
        <f t="shared" ref="AB36:AB58" si="34">E36*(1-(1-Q36)*R36)</f>
        <v>37.709313357010188</v>
      </c>
      <c r="AC36" s="19">
        <f t="shared" ref="AC36:AC58" si="35">F36*(1-(1-Q36)*S36)</f>
        <v>30.426350083922703</v>
      </c>
      <c r="AD36" s="17">
        <f t="shared" ref="AD36:AD58" si="36">G36*(1-(1-Q36)*T36)</f>
        <v>27.673256452536673</v>
      </c>
      <c r="AE36" s="17">
        <f t="shared" ref="AE36:AE58" si="37">H36*(1-(1-Q36)*U36)</f>
        <v>0.33337962799939902</v>
      </c>
      <c r="AF36" s="17">
        <f t="shared" ref="AF36:AF58" si="38">L36*(1+(1-Q36)*X36)</f>
        <v>35.885932706886344</v>
      </c>
      <c r="AG36" s="19">
        <f t="shared" ref="AG36:AG58" si="39">K36*(1+(1-Q36)*W36)</f>
        <v>54.983613864304189</v>
      </c>
      <c r="AH36" s="19">
        <f t="shared" ref="AH36:AH58" si="40">J36*(1+(1-Q36)*V36)</f>
        <v>5.22285057160577</v>
      </c>
      <c r="AI36" s="19">
        <f t="shared" ref="AI36:AI58" si="41">M36*(1+(1-Q36)*Y36)</f>
        <v>4.990109949219302E-2</v>
      </c>
      <c r="AJ36" s="29">
        <f t="shared" si="20"/>
        <v>-5.4471533570101869</v>
      </c>
      <c r="AK36" s="29">
        <f t="shared" si="20"/>
        <v>-3.7298500839227025</v>
      </c>
      <c r="AL36" s="29">
        <f t="shared" si="20"/>
        <v>-3.1478564525366721</v>
      </c>
      <c r="AM36" s="29">
        <f t="shared" si="20"/>
        <v>-5.7962799939903498E-4</v>
      </c>
      <c r="AN36" s="29">
        <f t="shared" si="21"/>
        <v>6.383877293113656</v>
      </c>
      <c r="AO36" s="30">
        <f t="shared" si="22"/>
        <v>20.191856135695815</v>
      </c>
      <c r="AP36" s="30">
        <f t="shared" si="23"/>
        <v>0.10127942839423021</v>
      </c>
      <c r="AQ36" s="30">
        <f t="shared" si="24"/>
        <v>8.9001858069800988E-6</v>
      </c>
    </row>
    <row r="37" spans="1:43" x14ac:dyDescent="0.35">
      <c r="A37">
        <v>34</v>
      </c>
      <c r="B37" t="s">
        <v>35</v>
      </c>
      <c r="C37">
        <v>120</v>
      </c>
      <c r="D37" s="15">
        <v>42932</v>
      </c>
      <c r="E37">
        <v>32.131720000000001</v>
      </c>
      <c r="F37">
        <v>24.9999</v>
      </c>
      <c r="G37">
        <v>22.8794</v>
      </c>
      <c r="H37">
        <v>0.25600000000000001</v>
      </c>
      <c r="I37" s="5">
        <f t="shared" si="25"/>
        <v>80.267020000000002</v>
      </c>
      <c r="J37">
        <v>3.1268699999999998</v>
      </c>
      <c r="K37">
        <v>72.363420000000005</v>
      </c>
      <c r="L37">
        <v>39.516289999999998</v>
      </c>
      <c r="M37">
        <v>0.54900999645799997</v>
      </c>
      <c r="N37" s="2">
        <f t="shared" si="17"/>
        <v>115.00658</v>
      </c>
      <c r="O37" s="2">
        <f t="shared" si="18"/>
        <v>-0.17790197958146928</v>
      </c>
      <c r="P37" s="2"/>
      <c r="Q37" s="14">
        <v>1.408580045748693</v>
      </c>
      <c r="R37">
        <f t="shared" si="26"/>
        <v>0.40031036408228438</v>
      </c>
      <c r="S37">
        <f t="shared" si="27"/>
        <v>0.31145917713152921</v>
      </c>
      <c r="T37">
        <f t="shared" si="28"/>
        <v>0.2850411040549406</v>
      </c>
      <c r="U37">
        <f t="shared" si="29"/>
        <v>3.1893547312457846E-3</v>
      </c>
      <c r="V37">
        <f t="shared" si="30"/>
        <v>2.7188618251233972E-2</v>
      </c>
      <c r="W37">
        <f t="shared" si="31"/>
        <v>0.62921112861542361</v>
      </c>
      <c r="X37">
        <f t="shared" si="32"/>
        <v>0.34360025313334241</v>
      </c>
      <c r="Y37">
        <f t="shared" si="33"/>
        <v>4.7737268290040449E-3</v>
      </c>
      <c r="Z37" s="1">
        <f t="shared" si="19"/>
        <v>1.2165737650615682E-6</v>
      </c>
      <c r="AA37" s="1"/>
      <c r="AB37" s="17">
        <f t="shared" si="34"/>
        <v>37.387146428528681</v>
      </c>
      <c r="AC37" s="19">
        <f t="shared" si="35"/>
        <v>28.181287395430779</v>
      </c>
      <c r="AD37" s="17">
        <f t="shared" si="36"/>
        <v>25.543983138560986</v>
      </c>
      <c r="AE37" s="17">
        <f t="shared" si="37"/>
        <v>0.25633359531571231</v>
      </c>
      <c r="AF37" s="17">
        <f t="shared" si="38"/>
        <v>33.968668893898517</v>
      </c>
      <c r="AG37" s="19">
        <f t="shared" si="39"/>
        <v>53.76000681204053</v>
      </c>
      <c r="AH37" s="19">
        <f t="shared" si="40"/>
        <v>3.0921344551528023</v>
      </c>
      <c r="AI37" s="19">
        <f t="shared" si="41"/>
        <v>0.54793918017053689</v>
      </c>
      <c r="AJ37" s="29">
        <f t="shared" si="20"/>
        <v>-5.2554264285286791</v>
      </c>
      <c r="AK37" s="29">
        <f t="shared" si="20"/>
        <v>-3.1813873954307788</v>
      </c>
      <c r="AL37" s="29">
        <f t="shared" si="20"/>
        <v>-2.6645831385609853</v>
      </c>
      <c r="AM37" s="29">
        <f t="shared" si="20"/>
        <v>-3.3359531571230949E-4</v>
      </c>
      <c r="AN37" s="29">
        <f t="shared" si="21"/>
        <v>5.5476211061014808</v>
      </c>
      <c r="AO37" s="30">
        <f t="shared" si="22"/>
        <v>18.603413187959475</v>
      </c>
      <c r="AP37" s="30">
        <f t="shared" si="23"/>
        <v>3.4735544847197541E-2</v>
      </c>
      <c r="AQ37" s="30">
        <f t="shared" si="24"/>
        <v>1.0708162874630833E-3</v>
      </c>
    </row>
    <row r="38" spans="1:43" x14ac:dyDescent="0.35">
      <c r="A38">
        <v>35</v>
      </c>
      <c r="B38" t="s">
        <v>36</v>
      </c>
      <c r="C38">
        <v>15</v>
      </c>
      <c r="D38" s="15">
        <v>43669</v>
      </c>
      <c r="E38">
        <v>41.566879999999998</v>
      </c>
      <c r="F38">
        <v>23.692519999999998</v>
      </c>
      <c r="G38">
        <v>21.8918</v>
      </c>
      <c r="H38">
        <v>1.1264000000000001</v>
      </c>
      <c r="I38" s="5">
        <f t="shared" si="25"/>
        <v>88.277600000000007</v>
      </c>
      <c r="J38">
        <v>4.8734099999999998</v>
      </c>
      <c r="K38">
        <v>76.800210000000007</v>
      </c>
      <c r="L38">
        <v>1.98319</v>
      </c>
      <c r="M38">
        <v>1.4117399908920001</v>
      </c>
      <c r="N38" s="2">
        <f t="shared" si="17"/>
        <v>83.656809999999993</v>
      </c>
      <c r="O38" s="2">
        <f t="shared" si="18"/>
        <v>2.6875306693988792E-2</v>
      </c>
      <c r="P38" s="2"/>
      <c r="Q38" s="14">
        <v>0.96861098100484544</v>
      </c>
      <c r="R38">
        <f t="shared" si="26"/>
        <v>0.47086554233463523</v>
      </c>
      <c r="S38">
        <f t="shared" si="27"/>
        <v>0.26838654426490977</v>
      </c>
      <c r="T38">
        <f t="shared" si="28"/>
        <v>0.24798816460800926</v>
      </c>
      <c r="U38">
        <f t="shared" si="29"/>
        <v>1.2759748792445649E-2</v>
      </c>
      <c r="V38">
        <f t="shared" si="30"/>
        <v>5.8254791211857115E-2</v>
      </c>
      <c r="W38">
        <f t="shared" si="31"/>
        <v>0.91803894984759771</v>
      </c>
      <c r="X38">
        <f t="shared" si="32"/>
        <v>2.3706258940545309E-2</v>
      </c>
      <c r="Y38">
        <f t="shared" si="33"/>
        <v>1.6875374412340133E-2</v>
      </c>
      <c r="Z38" s="1">
        <f t="shared" si="19"/>
        <v>9.9025715427636385E-7</v>
      </c>
      <c r="AA38" s="1"/>
      <c r="AB38" s="17">
        <f t="shared" si="34"/>
        <v>40.952521203822592</v>
      </c>
      <c r="AC38" s="19">
        <f t="shared" si="35"/>
        <v>23.492924963477098</v>
      </c>
      <c r="AD38" s="17">
        <f t="shared" si="36"/>
        <v>21.72139192557567</v>
      </c>
      <c r="AE38" s="17">
        <f t="shared" si="37"/>
        <v>1.125948858780732</v>
      </c>
      <c r="AF38" s="17">
        <f t="shared" si="38"/>
        <v>1.9846657238308507</v>
      </c>
      <c r="AG38" s="19">
        <f t="shared" si="39"/>
        <v>79.013311119724293</v>
      </c>
      <c r="AH38" s="19">
        <f t="shared" si="40"/>
        <v>4.8823213262344609</v>
      </c>
      <c r="AI38" s="19">
        <f t="shared" si="41"/>
        <v>1.4124877916093459</v>
      </c>
      <c r="AJ38" s="29">
        <f t="shared" si="20"/>
        <v>0.61435879617740596</v>
      </c>
      <c r="AK38" s="29">
        <f t="shared" si="20"/>
        <v>0.19959503652290067</v>
      </c>
      <c r="AL38" s="29">
        <f t="shared" si="20"/>
        <v>0.17040807442432993</v>
      </c>
      <c r="AM38" s="29">
        <f t="shared" si="20"/>
        <v>4.5114121926803641E-4</v>
      </c>
      <c r="AN38" s="29">
        <f t="shared" si="21"/>
        <v>-1.4757238308507059E-3</v>
      </c>
      <c r="AO38" s="30">
        <f t="shared" si="22"/>
        <v>-2.2131011197242856</v>
      </c>
      <c r="AP38" s="30">
        <f t="shared" si="23"/>
        <v>-8.9113262344611144E-3</v>
      </c>
      <c r="AQ38" s="30">
        <f t="shared" si="24"/>
        <v>-7.4780071734581455E-4</v>
      </c>
    </row>
    <row r="39" spans="1:43" x14ac:dyDescent="0.35">
      <c r="A39">
        <v>36</v>
      </c>
      <c r="B39" t="s">
        <v>36</v>
      </c>
      <c r="C39">
        <v>100</v>
      </c>
      <c r="D39" s="15">
        <v>43669</v>
      </c>
      <c r="E39">
        <v>94.134200000000007</v>
      </c>
      <c r="F39">
        <v>20.463989999999999</v>
      </c>
      <c r="G39">
        <v>33.743000000000002</v>
      </c>
      <c r="H39">
        <v>0.56320000000000003</v>
      </c>
      <c r="I39" s="5">
        <f t="shared" si="25"/>
        <v>148.90439000000001</v>
      </c>
      <c r="J39">
        <v>8.9298900000000003</v>
      </c>
      <c r="K39">
        <v>131.22900000000001</v>
      </c>
      <c r="L39">
        <v>1.3603700000000001</v>
      </c>
      <c r="M39">
        <v>1.197839992272</v>
      </c>
      <c r="N39" s="2">
        <f t="shared" si="17"/>
        <v>141.51926</v>
      </c>
      <c r="O39" s="2">
        <f t="shared" si="18"/>
        <v>2.5428817522264471E-2</v>
      </c>
      <c r="P39" s="2"/>
      <c r="Q39" s="14">
        <v>0.96781547730779993</v>
      </c>
      <c r="R39">
        <f t="shared" si="26"/>
        <v>0.63217880950319871</v>
      </c>
      <c r="S39">
        <f t="shared" si="27"/>
        <v>0.13743040080953958</v>
      </c>
      <c r="T39">
        <f t="shared" si="28"/>
        <v>0.22660849690193821</v>
      </c>
      <c r="U39">
        <f t="shared" si="29"/>
        <v>3.782292785323522E-3</v>
      </c>
      <c r="V39">
        <f t="shared" si="30"/>
        <v>6.3100174492150399E-2</v>
      </c>
      <c r="W39">
        <f t="shared" si="31"/>
        <v>0.92728721164878913</v>
      </c>
      <c r="X39">
        <f t="shared" si="32"/>
        <v>9.6126138590605977E-3</v>
      </c>
      <c r="Y39">
        <f t="shared" si="33"/>
        <v>8.4641482175076381E-3</v>
      </c>
      <c r="Z39" s="1">
        <f t="shared" si="19"/>
        <v>3.1752378504279477E-14</v>
      </c>
      <c r="AA39" s="1"/>
      <c r="AB39" s="17">
        <f t="shared" si="34"/>
        <v>92.21891043215274</v>
      </c>
      <c r="AC39" s="19">
        <f t="shared" si="35"/>
        <v>20.373475073982259</v>
      </c>
      <c r="AD39" s="17">
        <f t="shared" si="36"/>
        <v>33.496902640015158</v>
      </c>
      <c r="AE39" s="17">
        <f t="shared" si="37"/>
        <v>0.56313144093861101</v>
      </c>
      <c r="AF39" s="17">
        <f t="shared" si="38"/>
        <v>1.3607908677185083</v>
      </c>
      <c r="AG39" s="19">
        <f t="shared" si="39"/>
        <v>135.14543715987415</v>
      </c>
      <c r="AH39" s="19">
        <f t="shared" si="40"/>
        <v>8.9480252581571822</v>
      </c>
      <c r="AI39" s="19">
        <f t="shared" si="41"/>
        <v>1.1981663013388746</v>
      </c>
      <c r="AJ39" s="29">
        <f t="shared" si="20"/>
        <v>1.9152895678472674</v>
      </c>
      <c r="AK39" s="29">
        <f t="shared" si="20"/>
        <v>9.0514926017739583E-2</v>
      </c>
      <c r="AL39" s="29">
        <f t="shared" si="20"/>
        <v>0.24609735998484439</v>
      </c>
      <c r="AM39" s="29">
        <f t="shared" si="20"/>
        <v>6.8559061389028564E-5</v>
      </c>
      <c r="AN39" s="29">
        <f t="shared" si="21"/>
        <v>-4.2086771850824434E-4</v>
      </c>
      <c r="AO39" s="30">
        <f t="shared" si="22"/>
        <v>-3.9164371598741354</v>
      </c>
      <c r="AP39" s="30">
        <f t="shared" si="23"/>
        <v>-1.8135258157181866E-2</v>
      </c>
      <c r="AQ39" s="30">
        <f t="shared" si="24"/>
        <v>-3.2630906687458605E-4</v>
      </c>
    </row>
    <row r="40" spans="1:43" x14ac:dyDescent="0.35">
      <c r="A40">
        <v>37</v>
      </c>
      <c r="B40" t="s">
        <v>42</v>
      </c>
      <c r="C40">
        <v>50</v>
      </c>
      <c r="D40" s="15">
        <v>43669</v>
      </c>
      <c r="E40">
        <v>98.264799999999994</v>
      </c>
      <c r="F40">
        <v>21.392130000000002</v>
      </c>
      <c r="G40">
        <v>34.154499999999999</v>
      </c>
      <c r="H40">
        <v>1.1519999999999999</v>
      </c>
      <c r="I40" s="5">
        <f t="shared" si="25"/>
        <v>154.96342999999996</v>
      </c>
      <c r="J40">
        <v>8.9580599999999997</v>
      </c>
      <c r="K40">
        <v>131.29149000000001</v>
      </c>
      <c r="L40">
        <v>1.7373400000000001</v>
      </c>
      <c r="M40">
        <v>2.0035299870740002</v>
      </c>
      <c r="N40" s="2">
        <f t="shared" si="17"/>
        <v>141.98688999999999</v>
      </c>
      <c r="O40" s="2">
        <f t="shared" si="18"/>
        <v>4.3699363583780529E-2</v>
      </c>
      <c r="P40" s="2"/>
      <c r="Q40" s="14">
        <v>0.94367534454587387</v>
      </c>
      <c r="R40">
        <f t="shared" si="26"/>
        <v>0.63411606209284355</v>
      </c>
      <c r="S40">
        <f t="shared" si="27"/>
        <v>0.13804631195889255</v>
      </c>
      <c r="T40">
        <f t="shared" si="28"/>
        <v>0.22040361393652688</v>
      </c>
      <c r="U40">
        <f t="shared" si="29"/>
        <v>7.4340120117372226E-3</v>
      </c>
      <c r="V40">
        <f t="shared" si="30"/>
        <v>6.3090754364716353E-2</v>
      </c>
      <c r="W40">
        <f t="shared" si="31"/>
        <v>0.92467332723464835</v>
      </c>
      <c r="X40">
        <f t="shared" si="32"/>
        <v>1.223591840063544E-2</v>
      </c>
      <c r="Y40">
        <f t="shared" si="33"/>
        <v>1.4110668858751681E-2</v>
      </c>
      <c r="Z40" s="1">
        <f t="shared" si="19"/>
        <v>-1.3677947663381929E-13</v>
      </c>
      <c r="AA40" s="1"/>
      <c r="AB40" s="17">
        <f t="shared" si="34"/>
        <v>94.755138171464125</v>
      </c>
      <c r="AC40" s="19">
        <f t="shared" si="35"/>
        <v>21.225797397987375</v>
      </c>
      <c r="AD40" s="17">
        <f t="shared" si="36"/>
        <v>33.730500653710507</v>
      </c>
      <c r="AE40" s="17">
        <f t="shared" si="37"/>
        <v>1.1515176366736861</v>
      </c>
      <c r="AF40" s="17">
        <f t="shared" si="38"/>
        <v>1.7385373467361183</v>
      </c>
      <c r="AG40" s="19">
        <f t="shared" si="39"/>
        <v>138.12940111484306</v>
      </c>
      <c r="AH40" s="19">
        <f t="shared" si="40"/>
        <v>8.9898930485012212</v>
      </c>
      <c r="AI40" s="19">
        <f t="shared" si="41"/>
        <v>2.0051223497554425</v>
      </c>
      <c r="AJ40" s="29">
        <f t="shared" si="20"/>
        <v>3.5096618285358687</v>
      </c>
      <c r="AK40" s="29">
        <f t="shared" si="20"/>
        <v>0.16633260201262701</v>
      </c>
      <c r="AL40" s="29">
        <f t="shared" si="20"/>
        <v>0.42399934628949154</v>
      </c>
      <c r="AM40" s="29">
        <f t="shared" si="20"/>
        <v>4.8236332631379497E-4</v>
      </c>
      <c r="AN40" s="29">
        <f t="shared" si="21"/>
        <v>-1.1973467361181545E-3</v>
      </c>
      <c r="AO40" s="30">
        <f t="shared" si="22"/>
        <v>-6.8379111148430525</v>
      </c>
      <c r="AP40" s="30">
        <f t="shared" si="23"/>
        <v>-3.1833048501221484E-2</v>
      </c>
      <c r="AQ40" s="30">
        <f t="shared" si="24"/>
        <v>-1.5923626814422498E-3</v>
      </c>
    </row>
    <row r="41" spans="1:43" x14ac:dyDescent="0.35">
      <c r="A41">
        <v>38</v>
      </c>
      <c r="B41" t="s">
        <v>42</v>
      </c>
      <c r="C41">
        <v>100</v>
      </c>
      <c r="D41" s="15">
        <v>43669</v>
      </c>
      <c r="E41">
        <v>123.00492</v>
      </c>
      <c r="F41">
        <v>20.029859999999999</v>
      </c>
      <c r="G41">
        <v>36.2943</v>
      </c>
      <c r="H41">
        <v>0.81920000000000004</v>
      </c>
      <c r="I41" s="5">
        <f t="shared" si="25"/>
        <v>180.14828</v>
      </c>
      <c r="J41">
        <v>12.197609999999999</v>
      </c>
      <c r="K41">
        <v>163.84878</v>
      </c>
      <c r="L41">
        <v>1.4751000000000001</v>
      </c>
      <c r="M41">
        <v>0.77716999498600003</v>
      </c>
      <c r="N41" s="2">
        <f t="shared" si="17"/>
        <v>177.52149</v>
      </c>
      <c r="O41" s="2">
        <f t="shared" si="18"/>
        <v>7.3441767248039998E-3</v>
      </c>
      <c r="P41" s="2"/>
      <c r="Q41" s="14">
        <v>0.99246938403634077</v>
      </c>
      <c r="R41">
        <f t="shared" si="26"/>
        <v>0.6827981926888228</v>
      </c>
      <c r="S41">
        <f t="shared" si="27"/>
        <v>0.11118540793173268</v>
      </c>
      <c r="T41">
        <f t="shared" si="28"/>
        <v>0.20146903428664431</v>
      </c>
      <c r="U41">
        <f t="shared" si="29"/>
        <v>4.54736509280022E-3</v>
      </c>
      <c r="V41">
        <f t="shared" si="30"/>
        <v>6.8710610754788043E-2</v>
      </c>
      <c r="W41">
        <f t="shared" si="31"/>
        <v>0.92297997273456867</v>
      </c>
      <c r="X41">
        <f t="shared" si="32"/>
        <v>8.3094165106433037E-3</v>
      </c>
      <c r="Y41">
        <f t="shared" si="33"/>
        <v>4.3778924736717793E-3</v>
      </c>
      <c r="Z41" s="1">
        <f t="shared" si="19"/>
        <v>1.1213252548714081E-13</v>
      </c>
      <c r="AA41" s="1"/>
      <c r="AB41" s="17">
        <f t="shared" si="34"/>
        <v>122.37244211260855</v>
      </c>
      <c r="AC41" s="19">
        <f t="shared" si="35"/>
        <v>20.013089106225074</v>
      </c>
      <c r="AD41" s="17">
        <f t="shared" si="36"/>
        <v>36.239234798853893</v>
      </c>
      <c r="AE41" s="17">
        <f t="shared" si="37"/>
        <v>0.81917194693823658</v>
      </c>
      <c r="AF41" s="17">
        <f t="shared" si="38"/>
        <v>1.4751923044188224</v>
      </c>
      <c r="AG41" s="19">
        <f t="shared" si="39"/>
        <v>164.98762859465833</v>
      </c>
      <c r="AH41" s="19">
        <f t="shared" si="40"/>
        <v>12.203921448645717</v>
      </c>
      <c r="AI41" s="19">
        <f t="shared" si="41"/>
        <v>0.77719561690277295</v>
      </c>
      <c r="AJ41" s="29">
        <f t="shared" si="20"/>
        <v>0.63247788739144539</v>
      </c>
      <c r="AK41" s="29">
        <f t="shared" si="20"/>
        <v>1.6770893774925355E-2</v>
      </c>
      <c r="AL41" s="29">
        <f t="shared" si="20"/>
        <v>5.5065201146106801E-2</v>
      </c>
      <c r="AM41" s="29">
        <f t="shared" si="20"/>
        <v>2.8053061763455567E-5</v>
      </c>
      <c r="AN41" s="29">
        <f t="shared" si="21"/>
        <v>-9.2304418822353185E-5</v>
      </c>
      <c r="AO41" s="30">
        <f t="shared" si="22"/>
        <v>-1.1388485946583273</v>
      </c>
      <c r="AP41" s="30">
        <f t="shared" si="23"/>
        <v>-6.3114486457180874E-3</v>
      </c>
      <c r="AQ41" s="30">
        <f t="shared" si="24"/>
        <v>-2.5621916772911035E-5</v>
      </c>
    </row>
    <row r="42" spans="1:43" x14ac:dyDescent="0.35">
      <c r="A42">
        <v>39</v>
      </c>
      <c r="B42" t="s">
        <v>34</v>
      </c>
      <c r="C42">
        <v>15</v>
      </c>
      <c r="D42" s="15">
        <v>43669</v>
      </c>
      <c r="E42">
        <v>4.3914799999999996</v>
      </c>
      <c r="F42">
        <v>7.4850000000000003</v>
      </c>
      <c r="G42">
        <v>3.5388999999999999</v>
      </c>
      <c r="H42">
        <v>0.56320000000000003</v>
      </c>
      <c r="I42" s="5">
        <f t="shared" si="25"/>
        <v>15.978580000000001</v>
      </c>
      <c r="J42">
        <v>0.61973999999999996</v>
      </c>
      <c r="K42">
        <v>11.68563</v>
      </c>
      <c r="L42">
        <v>2.2290399999999999</v>
      </c>
      <c r="M42">
        <v>0.12120999921800001</v>
      </c>
      <c r="N42" s="2">
        <f t="shared" si="17"/>
        <v>14.534409999999999</v>
      </c>
      <c r="O42" s="2">
        <f t="shared" si="18"/>
        <v>4.7329678278005577E-2</v>
      </c>
      <c r="P42" s="2"/>
      <c r="Q42" s="14">
        <v>0.91342650605390097</v>
      </c>
      <c r="R42">
        <f t="shared" si="26"/>
        <v>0.27483543593986448</v>
      </c>
      <c r="S42">
        <f t="shared" si="27"/>
        <v>0.46843962354602225</v>
      </c>
      <c r="T42">
        <f t="shared" si="28"/>
        <v>0.22147775334228698</v>
      </c>
      <c r="U42">
        <f t="shared" si="29"/>
        <v>3.5247187171826282E-2</v>
      </c>
      <c r="V42">
        <f t="shared" si="30"/>
        <v>4.2639501706639625E-2</v>
      </c>
      <c r="W42">
        <f t="shared" si="31"/>
        <v>0.80399754788808075</v>
      </c>
      <c r="X42">
        <f t="shared" si="32"/>
        <v>0.15336295040527961</v>
      </c>
      <c r="Y42">
        <f t="shared" si="33"/>
        <v>8.3395197478260217E-3</v>
      </c>
      <c r="Z42" s="1">
        <f t="shared" si="19"/>
        <v>1.3958389864787701E-7</v>
      </c>
      <c r="AA42" s="1"/>
      <c r="AB42" s="17">
        <f t="shared" si="34"/>
        <v>4.2869914789349908</v>
      </c>
      <c r="AC42" s="19">
        <f t="shared" si="35"/>
        <v>7.1814499049748894</v>
      </c>
      <c r="AD42" s="17">
        <f t="shared" si="36"/>
        <v>3.4710447671120956</v>
      </c>
      <c r="AE42" s="17">
        <f t="shared" si="37"/>
        <v>0.56148141088780246</v>
      </c>
      <c r="AF42" s="17">
        <f t="shared" si="38"/>
        <v>2.2586353351225821</v>
      </c>
      <c r="AG42" s="19">
        <f t="shared" si="39"/>
        <v>12.499006837003517</v>
      </c>
      <c r="AH42" s="19">
        <f t="shared" si="40"/>
        <v>0.62202773962140878</v>
      </c>
      <c r="AI42" s="19">
        <f t="shared" si="41"/>
        <v>0.12129751057837214</v>
      </c>
      <c r="AJ42" s="29">
        <f t="shared" si="20"/>
        <v>0.10448852106500883</v>
      </c>
      <c r="AK42" s="29">
        <f t="shared" si="20"/>
        <v>0.30355009502511088</v>
      </c>
      <c r="AL42" s="29">
        <f t="shared" si="20"/>
        <v>6.7855232887904293E-2</v>
      </c>
      <c r="AM42" s="29">
        <f t="shared" si="20"/>
        <v>1.7185891121975772E-3</v>
      </c>
      <c r="AN42" s="29">
        <f t="shared" si="21"/>
        <v>-2.9595335122582167E-2</v>
      </c>
      <c r="AO42" s="30">
        <f t="shared" si="22"/>
        <v>-0.81337683700351704</v>
      </c>
      <c r="AP42" s="30">
        <f t="shared" si="23"/>
        <v>-2.2877396214088241E-3</v>
      </c>
      <c r="AQ42" s="30">
        <f t="shared" si="24"/>
        <v>-8.7511360372133362E-5</v>
      </c>
    </row>
    <row r="43" spans="1:43" x14ac:dyDescent="0.35">
      <c r="A43">
        <v>40</v>
      </c>
      <c r="B43" t="s">
        <v>43</v>
      </c>
      <c r="C43">
        <v>15</v>
      </c>
      <c r="D43" s="15">
        <v>43669</v>
      </c>
      <c r="E43">
        <v>8.2612000000000005</v>
      </c>
      <c r="F43">
        <v>11.46203</v>
      </c>
      <c r="G43">
        <v>5.8433000000000002</v>
      </c>
      <c r="H43">
        <v>0.53759999999999997</v>
      </c>
      <c r="I43" s="5">
        <f t="shared" si="25"/>
        <v>26.104130000000001</v>
      </c>
      <c r="J43">
        <v>0.95777999999999996</v>
      </c>
      <c r="K43">
        <v>20.996639999999999</v>
      </c>
      <c r="L43">
        <v>2.0979199999999998</v>
      </c>
      <c r="M43">
        <v>0.10694999931</v>
      </c>
      <c r="N43" s="2">
        <f t="shared" si="17"/>
        <v>24.052339999999997</v>
      </c>
      <c r="O43" s="2">
        <f t="shared" si="18"/>
        <v>4.0907783183306241E-2</v>
      </c>
      <c r="P43" s="2"/>
      <c r="Q43" s="14">
        <v>0.92932249870383166</v>
      </c>
      <c r="R43">
        <f t="shared" si="26"/>
        <v>0.31647099520267485</v>
      </c>
      <c r="S43">
        <f t="shared" si="27"/>
        <v>0.43908875721964302</v>
      </c>
      <c r="T43">
        <f t="shared" si="28"/>
        <v>0.22384580524231223</v>
      </c>
      <c r="U43">
        <f t="shared" si="29"/>
        <v>2.0594442335369917E-2</v>
      </c>
      <c r="V43">
        <f t="shared" si="30"/>
        <v>3.9820657782153421E-2</v>
      </c>
      <c r="W43">
        <f t="shared" si="31"/>
        <v>0.87295622795952499</v>
      </c>
      <c r="X43">
        <f t="shared" si="32"/>
        <v>8.7223114258321646E-2</v>
      </c>
      <c r="Y43">
        <f t="shared" si="33"/>
        <v>4.4465527807273642E-3</v>
      </c>
      <c r="Z43" s="1">
        <f t="shared" si="19"/>
        <v>2.5572257676687027E-7</v>
      </c>
      <c r="AA43" s="1"/>
      <c r="AB43" s="17">
        <f t="shared" si="34"/>
        <v>8.0764186071707531</v>
      </c>
      <c r="AC43" s="19">
        <f t="shared" si="35"/>
        <v>11.106320843058471</v>
      </c>
      <c r="AD43" s="17">
        <f t="shared" si="36"/>
        <v>5.7508539559642653</v>
      </c>
      <c r="AE43" s="17">
        <f t="shared" si="37"/>
        <v>0.53681748894151948</v>
      </c>
      <c r="AF43" s="17">
        <f t="shared" si="38"/>
        <v>2.1108530721187178</v>
      </c>
      <c r="AG43" s="19">
        <f t="shared" si="39"/>
        <v>22.292098357089081</v>
      </c>
      <c r="AH43" s="19">
        <f t="shared" si="40"/>
        <v>0.96047559958573769</v>
      </c>
      <c r="AI43" s="19">
        <f t="shared" si="41"/>
        <v>0.10698361061889296</v>
      </c>
      <c r="AJ43" s="29">
        <f t="shared" si="20"/>
        <v>0.18478139282924744</v>
      </c>
      <c r="AK43" s="29">
        <f t="shared" si="20"/>
        <v>0.35570915694152916</v>
      </c>
      <c r="AL43" s="29">
        <f t="shared" si="20"/>
        <v>9.2446044035734865E-2</v>
      </c>
      <c r="AM43" s="29">
        <f t="shared" si="20"/>
        <v>7.8251105848048397E-4</v>
      </c>
      <c r="AN43" s="29">
        <f t="shared" si="21"/>
        <v>-1.293307211871797E-2</v>
      </c>
      <c r="AO43" s="30">
        <f t="shared" si="22"/>
        <v>-1.2954583570890819</v>
      </c>
      <c r="AP43" s="30">
        <f t="shared" si="23"/>
        <v>-2.6955995857377291E-3</v>
      </c>
      <c r="AQ43" s="30">
        <f t="shared" si="24"/>
        <v>-3.3611308892955716E-5</v>
      </c>
    </row>
    <row r="44" spans="1:43" x14ac:dyDescent="0.35">
      <c r="A44">
        <v>41</v>
      </c>
      <c r="B44" t="s">
        <v>43</v>
      </c>
      <c r="C44">
        <v>50</v>
      </c>
      <c r="D44" s="15">
        <v>43669</v>
      </c>
      <c r="E44">
        <v>24.609680000000001</v>
      </c>
      <c r="F44">
        <v>23.487929999999999</v>
      </c>
      <c r="G44">
        <v>17.612200000000001</v>
      </c>
      <c r="H44">
        <v>0.23039999999999999</v>
      </c>
      <c r="I44" s="5">
        <f t="shared" si="25"/>
        <v>65.940210000000008</v>
      </c>
      <c r="J44">
        <v>1.71837</v>
      </c>
      <c r="K44">
        <v>57.928229999999999</v>
      </c>
      <c r="L44">
        <v>1.98319</v>
      </c>
      <c r="M44">
        <v>0.363629997654</v>
      </c>
      <c r="N44" s="2">
        <f t="shared" si="17"/>
        <v>61.62979</v>
      </c>
      <c r="O44" s="2">
        <f t="shared" si="18"/>
        <v>3.3788665046641117E-2</v>
      </c>
      <c r="P44" s="2"/>
      <c r="Q44" s="14">
        <v>0.94862210000536429</v>
      </c>
      <c r="R44">
        <f t="shared" si="26"/>
        <v>0.37321203556979871</v>
      </c>
      <c r="S44">
        <f t="shared" si="27"/>
        <v>0.35620041246456441</v>
      </c>
      <c r="T44">
        <f t="shared" si="28"/>
        <v>0.26709347756096014</v>
      </c>
      <c r="U44">
        <f t="shared" si="29"/>
        <v>3.4940744046765997E-3</v>
      </c>
      <c r="V44">
        <f t="shared" si="30"/>
        <v>2.7882132974978494E-2</v>
      </c>
      <c r="W44">
        <f t="shared" si="31"/>
        <v>0.9399387860967886</v>
      </c>
      <c r="X44">
        <f t="shared" si="32"/>
        <v>3.217908092823292E-2</v>
      </c>
      <c r="Y44">
        <f t="shared" si="33"/>
        <v>5.900231002799133E-3</v>
      </c>
      <c r="Z44" s="1">
        <f t="shared" si="19"/>
        <v>7.2872021178449486E-7</v>
      </c>
      <c r="AA44" s="1"/>
      <c r="AB44" s="17">
        <f t="shared" si="34"/>
        <v>24.137793061694435</v>
      </c>
      <c r="AC44" s="19">
        <f t="shared" si="35"/>
        <v>23.058081405521246</v>
      </c>
      <c r="AD44" s="17">
        <f t="shared" si="36"/>
        <v>17.370513028199355</v>
      </c>
      <c r="AE44" s="17">
        <f t="shared" si="37"/>
        <v>0.23035863900549031</v>
      </c>
      <c r="AF44" s="17">
        <f t="shared" si="38"/>
        <v>1.9864687953382532</v>
      </c>
      <c r="AG44" s="19">
        <f t="shared" si="39"/>
        <v>60.725704772633279</v>
      </c>
      <c r="AH44" s="19">
        <f t="shared" si="40"/>
        <v>1.7208316087396895</v>
      </c>
      <c r="AI44" s="19">
        <f t="shared" si="41"/>
        <v>0.36374022898908204</v>
      </c>
      <c r="AJ44" s="29">
        <f t="shared" si="20"/>
        <v>0.47188693830556616</v>
      </c>
      <c r="AK44" s="29">
        <f t="shared" si="20"/>
        <v>0.42984859447875223</v>
      </c>
      <c r="AL44" s="29">
        <f t="shared" si="20"/>
        <v>0.24168697180064669</v>
      </c>
      <c r="AM44" s="29">
        <f t="shared" si="20"/>
        <v>4.136099450968711E-5</v>
      </c>
      <c r="AN44" s="29">
        <f t="shared" si="21"/>
        <v>-3.2787953382531487E-3</v>
      </c>
      <c r="AO44" s="30">
        <f t="shared" si="22"/>
        <v>-2.7974747726332794</v>
      </c>
      <c r="AP44" s="30">
        <f t="shared" si="23"/>
        <v>-2.4616087396895914E-3</v>
      </c>
      <c r="AQ44" s="30">
        <f t="shared" si="24"/>
        <v>-1.1023133508203387E-4</v>
      </c>
    </row>
    <row r="45" spans="1:43" x14ac:dyDescent="0.35">
      <c r="A45">
        <v>42</v>
      </c>
      <c r="B45" t="s">
        <v>43</v>
      </c>
      <c r="C45">
        <v>100</v>
      </c>
      <c r="D45" s="15">
        <v>43669</v>
      </c>
      <c r="E45">
        <v>31.609960000000001</v>
      </c>
      <c r="F45">
        <v>23.313279999999999</v>
      </c>
      <c r="G45">
        <v>21.0688</v>
      </c>
      <c r="H45">
        <v>0.28160000000000002</v>
      </c>
      <c r="I45" s="5">
        <f t="shared" si="25"/>
        <v>76.27364</v>
      </c>
      <c r="J45">
        <v>3.4085700000000001</v>
      </c>
      <c r="K45">
        <v>69.613860000000003</v>
      </c>
      <c r="L45">
        <v>1.18008</v>
      </c>
      <c r="M45">
        <v>0.163989998942</v>
      </c>
      <c r="N45" s="2">
        <f t="shared" si="17"/>
        <v>74.202510000000004</v>
      </c>
      <c r="O45" s="2">
        <f t="shared" si="18"/>
        <v>1.3763842309894268E-2</v>
      </c>
      <c r="P45" s="2"/>
      <c r="Q45" s="14">
        <v>0.97916407158504548</v>
      </c>
      <c r="R45">
        <f t="shared" si="26"/>
        <v>0.41442836607771705</v>
      </c>
      <c r="S45">
        <f t="shared" si="27"/>
        <v>0.30565317192151836</v>
      </c>
      <c r="T45">
        <f t="shared" si="28"/>
        <v>0.27622649187845238</v>
      </c>
      <c r="U45">
        <f t="shared" si="29"/>
        <v>3.6919701223122434E-3</v>
      </c>
      <c r="V45">
        <f t="shared" si="30"/>
        <v>4.5936047176840786E-2</v>
      </c>
      <c r="W45">
        <f t="shared" si="31"/>
        <v>0.93816044767218787</v>
      </c>
      <c r="X45">
        <f t="shared" si="32"/>
        <v>1.5903505150971307E-2</v>
      </c>
      <c r="Y45">
        <f t="shared" si="33"/>
        <v>2.2100330425749749E-3</v>
      </c>
      <c r="Z45" s="1">
        <f t="shared" si="19"/>
        <v>1.9595436384634013E-14</v>
      </c>
      <c r="AA45" s="1"/>
      <c r="AB45" s="17">
        <f t="shared" si="34"/>
        <v>31.337008002710693</v>
      </c>
      <c r="AC45" s="19">
        <f t="shared" si="35"/>
        <v>23.164807800110058</v>
      </c>
      <c r="AD45" s="17">
        <f t="shared" si="36"/>
        <v>20.947539882410755</v>
      </c>
      <c r="AE45" s="17">
        <f t="shared" si="37"/>
        <v>0.28157833774394969</v>
      </c>
      <c r="AF45" s="17">
        <f t="shared" si="38"/>
        <v>1.1804710363770932</v>
      </c>
      <c r="AG45" s="19">
        <f t="shared" si="39"/>
        <v>70.974633025061848</v>
      </c>
      <c r="AH45" s="19">
        <f t="shared" si="40"/>
        <v>3.411832411168219</v>
      </c>
      <c r="AI45" s="19">
        <f t="shared" si="41"/>
        <v>0.16399755036827462</v>
      </c>
      <c r="AJ45" s="29">
        <f t="shared" si="20"/>
        <v>0.27295199728930797</v>
      </c>
      <c r="AK45" s="29">
        <f t="shared" si="20"/>
        <v>0.14847219988994098</v>
      </c>
      <c r="AL45" s="29">
        <f t="shared" si="20"/>
        <v>0.12126011758924449</v>
      </c>
      <c r="AM45" s="29">
        <f t="shared" si="20"/>
        <v>2.1662256050325457E-5</v>
      </c>
      <c r="AN45" s="29">
        <f t="shared" si="21"/>
        <v>-3.9103637709314576E-4</v>
      </c>
      <c r="AO45" s="30">
        <f t="shared" si="22"/>
        <v>-1.3607730250618459</v>
      </c>
      <c r="AP45" s="30">
        <f t="shared" si="23"/>
        <v>-3.2624111682189039E-3</v>
      </c>
      <c r="AQ45" s="30">
        <f t="shared" si="24"/>
        <v>-7.5514262746212424E-6</v>
      </c>
    </row>
    <row r="46" spans="1:43" x14ac:dyDescent="0.35">
      <c r="A46">
        <v>43</v>
      </c>
      <c r="B46" t="s">
        <v>44</v>
      </c>
      <c r="C46">
        <v>15</v>
      </c>
      <c r="D46" s="15">
        <v>43669</v>
      </c>
      <c r="E46">
        <v>65.785240000000002</v>
      </c>
      <c r="F46">
        <v>23.862179999999999</v>
      </c>
      <c r="G46">
        <v>25.842199999999998</v>
      </c>
      <c r="H46">
        <v>1.1008</v>
      </c>
      <c r="I46" s="5">
        <f t="shared" si="25"/>
        <v>116.59042000000001</v>
      </c>
      <c r="J46">
        <v>13.606109999999999</v>
      </c>
      <c r="K46">
        <v>94.422389999999993</v>
      </c>
      <c r="L46">
        <v>2.0159699999999998</v>
      </c>
      <c r="M46">
        <v>3.2227599792079999</v>
      </c>
      <c r="N46" s="2">
        <f t="shared" si="17"/>
        <v>110.04446999999999</v>
      </c>
      <c r="O46" s="2">
        <f t="shared" si="18"/>
        <v>2.8883240351915893E-2</v>
      </c>
      <c r="P46" s="2"/>
      <c r="Q46" s="14">
        <v>0.97454910147272267</v>
      </c>
      <c r="R46">
        <f t="shared" si="26"/>
        <v>0.56424224220137464</v>
      </c>
      <c r="S46">
        <f t="shared" si="27"/>
        <v>0.20466672990799756</v>
      </c>
      <c r="T46">
        <f t="shared" si="28"/>
        <v>0.22164942882957275</v>
      </c>
      <c r="U46">
        <f t="shared" si="29"/>
        <v>9.4415990610549304E-3</v>
      </c>
      <c r="V46">
        <f t="shared" si="30"/>
        <v>0.123641924033075</v>
      </c>
      <c r="W46">
        <f t="shared" si="31"/>
        <v>0.8580384820791086</v>
      </c>
      <c r="X46">
        <f t="shared" si="32"/>
        <v>1.8319593887816444E-2</v>
      </c>
      <c r="Y46">
        <f t="shared" si="33"/>
        <v>2.9285978470412918E-2</v>
      </c>
      <c r="Z46" s="1">
        <f t="shared" si="19"/>
        <v>1.2724935989361086E-6</v>
      </c>
      <c r="AA46" s="1"/>
      <c r="AB46" s="17">
        <f t="shared" si="34"/>
        <v>64.840532899607027</v>
      </c>
      <c r="AC46" s="19">
        <f t="shared" si="35"/>
        <v>23.737883045593573</v>
      </c>
      <c r="AD46" s="17">
        <f t="shared" si="36"/>
        <v>25.696419572583782</v>
      </c>
      <c r="AE46" s="17">
        <f t="shared" si="37"/>
        <v>1.1005354808646544</v>
      </c>
      <c r="AF46" s="17">
        <f t="shared" si="38"/>
        <v>2.0169099462646973</v>
      </c>
      <c r="AG46" s="19">
        <f t="shared" si="39"/>
        <v>96.484372021555131</v>
      </c>
      <c r="AH46" s="19">
        <f t="shared" si="40"/>
        <v>13.64892568058321</v>
      </c>
      <c r="AI46" s="19">
        <f t="shared" si="41"/>
        <v>3.2251620777523882</v>
      </c>
      <c r="AJ46" s="29">
        <f t="shared" si="20"/>
        <v>0.94470710039297501</v>
      </c>
      <c r="AK46" s="29">
        <f t="shared" si="20"/>
        <v>0.12429695440642519</v>
      </c>
      <c r="AL46" s="29">
        <f t="shared" si="20"/>
        <v>0.14578042741621644</v>
      </c>
      <c r="AM46" s="29">
        <f t="shared" si="20"/>
        <v>2.645191353456422E-4</v>
      </c>
      <c r="AN46" s="29">
        <f t="shared" si="21"/>
        <v>-9.3994626469751097E-4</v>
      </c>
      <c r="AO46" s="30">
        <f t="shared" si="22"/>
        <v>-2.0619820215551385</v>
      </c>
      <c r="AP46" s="30">
        <f t="shared" si="23"/>
        <v>-4.281568058321028E-2</v>
      </c>
      <c r="AQ46" s="30">
        <f t="shared" si="24"/>
        <v>-2.4020985443882203E-3</v>
      </c>
    </row>
    <row r="47" spans="1:43" x14ac:dyDescent="0.35">
      <c r="A47">
        <v>44</v>
      </c>
      <c r="B47" t="s">
        <v>44</v>
      </c>
      <c r="C47">
        <v>50</v>
      </c>
      <c r="D47" s="15">
        <v>43669</v>
      </c>
      <c r="E47">
        <v>128.35296</v>
      </c>
      <c r="F47">
        <v>21.40211</v>
      </c>
      <c r="G47">
        <v>41.232300000000002</v>
      </c>
      <c r="H47">
        <v>1.4079999999999999</v>
      </c>
      <c r="I47" s="5">
        <f t="shared" si="25"/>
        <v>192.39536999999999</v>
      </c>
      <c r="J47">
        <v>13.35258</v>
      </c>
      <c r="K47">
        <v>168.66050999999999</v>
      </c>
      <c r="L47">
        <v>1.55705</v>
      </c>
      <c r="M47">
        <v>2.2245599856479998</v>
      </c>
      <c r="N47" s="2">
        <f t="shared" si="17"/>
        <v>183.57013999999998</v>
      </c>
      <c r="O47" s="2">
        <f t="shared" si="18"/>
        <v>2.3473509578046149E-2</v>
      </c>
      <c r="P47" s="2"/>
      <c r="Q47" s="14">
        <v>0.97389276065430264</v>
      </c>
      <c r="R47">
        <f t="shared" si="26"/>
        <v>0.66713123086070114</v>
      </c>
      <c r="S47">
        <f t="shared" si="27"/>
        <v>0.11124025489802589</v>
      </c>
      <c r="T47">
        <f t="shared" si="28"/>
        <v>0.21431025081320826</v>
      </c>
      <c r="U47">
        <f t="shared" si="29"/>
        <v>7.3182634280648234E-3</v>
      </c>
      <c r="V47">
        <f t="shared" si="30"/>
        <v>7.2738300466513792E-2</v>
      </c>
      <c r="W47">
        <f t="shared" si="31"/>
        <v>0.9187796555583605</v>
      </c>
      <c r="X47">
        <f t="shared" si="32"/>
        <v>8.4820439751258029E-3</v>
      </c>
      <c r="Y47">
        <f t="shared" si="33"/>
        <v>1.2118310666691216E-2</v>
      </c>
      <c r="Z47" s="1">
        <f t="shared" si="19"/>
        <v>-1.2034817586936697E-13</v>
      </c>
      <c r="AA47" s="1"/>
      <c r="AB47" s="17">
        <f t="shared" si="34"/>
        <v>126.11744230762139</v>
      </c>
      <c r="AC47" s="19">
        <f t="shared" si="35"/>
        <v>21.339954506655445</v>
      </c>
      <c r="AD47" s="17">
        <f t="shared" si="36"/>
        <v>41.001603260613571</v>
      </c>
      <c r="AE47" s="17">
        <f t="shared" si="37"/>
        <v>1.4077309880058846</v>
      </c>
      <c r="AF47" s="17">
        <f t="shared" si="38"/>
        <v>1.5573947974373121</v>
      </c>
      <c r="AG47" s="19">
        <f t="shared" si="39"/>
        <v>172.70613598428284</v>
      </c>
      <c r="AH47" s="19">
        <f t="shared" si="40"/>
        <v>13.377936498945626</v>
      </c>
      <c r="AI47" s="19">
        <f t="shared" si="41"/>
        <v>2.2252637822305945</v>
      </c>
      <c r="AJ47" s="29">
        <f t="shared" si="20"/>
        <v>2.2355176923786075</v>
      </c>
      <c r="AK47" s="29">
        <f t="shared" si="20"/>
        <v>6.2155493344555168E-2</v>
      </c>
      <c r="AL47" s="29">
        <f t="shared" si="20"/>
        <v>0.2306967393864312</v>
      </c>
      <c r="AM47" s="29">
        <f t="shared" si="20"/>
        <v>2.6901199411533128E-4</v>
      </c>
      <c r="AN47" s="29">
        <f t="shared" si="21"/>
        <v>-3.4479743731208323E-4</v>
      </c>
      <c r="AO47" s="30">
        <f t="shared" si="22"/>
        <v>-4.0456259842828501</v>
      </c>
      <c r="AP47" s="30">
        <f t="shared" si="23"/>
        <v>-2.5356498945626527E-2</v>
      </c>
      <c r="AQ47" s="30">
        <f t="shared" si="24"/>
        <v>-7.0379658259467348E-4</v>
      </c>
    </row>
    <row r="48" spans="1:43" x14ac:dyDescent="0.35">
      <c r="A48">
        <v>45</v>
      </c>
      <c r="B48" t="s">
        <v>44</v>
      </c>
      <c r="C48">
        <v>100</v>
      </c>
      <c r="D48" s="15">
        <v>43669</v>
      </c>
      <c r="E48">
        <v>159.04983999999999</v>
      </c>
      <c r="F48">
        <v>21.272369999999999</v>
      </c>
      <c r="G48">
        <v>44.6066</v>
      </c>
      <c r="H48">
        <v>1.2287999999999999</v>
      </c>
      <c r="I48" s="5">
        <f t="shared" si="25"/>
        <v>226.15761000000001</v>
      </c>
      <c r="J48">
        <v>20.507760000000001</v>
      </c>
      <c r="K48">
        <v>195.84366</v>
      </c>
      <c r="L48">
        <v>1.7045600000000001</v>
      </c>
      <c r="M48">
        <v>1.88944998781</v>
      </c>
      <c r="N48" s="2">
        <f t="shared" si="17"/>
        <v>218.05597999999998</v>
      </c>
      <c r="O48" s="2">
        <f t="shared" si="18"/>
        <v>1.8238140800690111E-2</v>
      </c>
      <c r="P48" s="2"/>
      <c r="Q48" s="14">
        <v>0.97932808214679867</v>
      </c>
      <c r="R48">
        <f t="shared" si="26"/>
        <v>0.70326990102168119</v>
      </c>
      <c r="S48">
        <f t="shared" si="27"/>
        <v>9.4059934573946014E-2</v>
      </c>
      <c r="T48">
        <f t="shared" si="28"/>
        <v>0.19723678544356743</v>
      </c>
      <c r="U48">
        <f t="shared" si="29"/>
        <v>5.4333789608052539E-3</v>
      </c>
      <c r="V48">
        <f t="shared" si="30"/>
        <v>9.4048143050238772E-2</v>
      </c>
      <c r="W48">
        <f t="shared" si="31"/>
        <v>0.89813478171981354</v>
      </c>
      <c r="X48">
        <f t="shared" si="32"/>
        <v>7.8170752299478331E-3</v>
      </c>
      <c r="Y48">
        <f t="shared" si="33"/>
        <v>8.6649767083204973E-3</v>
      </c>
      <c r="Z48" s="1">
        <f t="shared" si="19"/>
        <v>-4.0856207306205761E-14</v>
      </c>
      <c r="AA48" s="1"/>
      <c r="AB48" s="17">
        <f t="shared" si="34"/>
        <v>156.73758334720355</v>
      </c>
      <c r="AC48" s="19">
        <f t="shared" si="35"/>
        <v>21.231008019922193</v>
      </c>
      <c r="AD48" s="17">
        <f t="shared" si="36"/>
        <v>44.424727176932841</v>
      </c>
      <c r="AE48" s="17">
        <f t="shared" si="37"/>
        <v>1.2286619831948782</v>
      </c>
      <c r="AF48" s="17">
        <f t="shared" si="38"/>
        <v>1.7048354465612627</v>
      </c>
      <c r="AG48" s="19">
        <f t="shared" si="39"/>
        <v>199.47972637727557</v>
      </c>
      <c r="AH48" s="19">
        <f t="shared" si="40"/>
        <v>20.547630274137887</v>
      </c>
      <c r="AI48" s="19">
        <f t="shared" si="41"/>
        <v>1.889788429278779</v>
      </c>
      <c r="AJ48" s="29">
        <f t="shared" si="20"/>
        <v>2.3122566527964352</v>
      </c>
      <c r="AK48" s="29">
        <f t="shared" si="20"/>
        <v>4.1361980077805782E-2</v>
      </c>
      <c r="AL48" s="29">
        <f t="shared" si="20"/>
        <v>0.18187282306715957</v>
      </c>
      <c r="AM48" s="29">
        <f t="shared" si="20"/>
        <v>1.3801680512171011E-4</v>
      </c>
      <c r="AN48" s="29">
        <f t="shared" si="21"/>
        <v>-2.7544656126265998E-4</v>
      </c>
      <c r="AO48" s="30">
        <f t="shared" si="22"/>
        <v>-3.6360663772755686</v>
      </c>
      <c r="AP48" s="30">
        <f t="shared" si="23"/>
        <v>-3.9870274137886241E-2</v>
      </c>
      <c r="AQ48" s="30">
        <f t="shared" si="24"/>
        <v>-3.3844146877903825E-4</v>
      </c>
    </row>
    <row r="49" spans="1:43" x14ac:dyDescent="0.35">
      <c r="A49">
        <v>46</v>
      </c>
      <c r="B49" t="s">
        <v>33</v>
      </c>
      <c r="C49">
        <v>15</v>
      </c>
      <c r="D49" s="15">
        <v>43672</v>
      </c>
      <c r="E49">
        <v>6.0437200000000004</v>
      </c>
      <c r="F49">
        <v>12.15564</v>
      </c>
      <c r="G49">
        <v>5.4318</v>
      </c>
      <c r="H49">
        <v>0.53759999999999997</v>
      </c>
      <c r="I49" s="5">
        <f t="shared" si="25"/>
        <v>24.168759999999999</v>
      </c>
      <c r="J49">
        <v>1.8310500000000001</v>
      </c>
      <c r="K49">
        <v>12.810449999999999</v>
      </c>
      <c r="L49">
        <v>2.1143100000000001</v>
      </c>
      <c r="M49">
        <v>5.4473199648559998</v>
      </c>
      <c r="N49" s="2">
        <f t="shared" si="17"/>
        <v>16.75581</v>
      </c>
      <c r="O49" s="2">
        <f t="shared" si="18"/>
        <v>0.18113690626437853</v>
      </c>
      <c r="P49" s="2"/>
      <c r="Q49" s="14">
        <v>0.90590382876563258</v>
      </c>
      <c r="R49">
        <f t="shared" si="26"/>
        <v>0.25006330486131689</v>
      </c>
      <c r="S49">
        <f t="shared" si="27"/>
        <v>0.50294843425976343</v>
      </c>
      <c r="T49">
        <f t="shared" si="28"/>
        <v>0.22474467039268875</v>
      </c>
      <c r="U49">
        <f t="shared" si="29"/>
        <v>2.2243590486230987E-2</v>
      </c>
      <c r="V49">
        <f t="shared" si="30"/>
        <v>0.10927851294565885</v>
      </c>
      <c r="W49">
        <f t="shared" si="31"/>
        <v>0.76453779315950698</v>
      </c>
      <c r="X49">
        <f t="shared" si="32"/>
        <v>0.12618369389483411</v>
      </c>
      <c r="Y49">
        <f t="shared" si="33"/>
        <v>0.32510036607337989</v>
      </c>
      <c r="Z49" s="1">
        <f t="shared" si="19"/>
        <v>1.8923953337690591E-7</v>
      </c>
      <c r="AA49" s="1"/>
      <c r="AB49" s="17">
        <f t="shared" si="34"/>
        <v>5.9015112710975401</v>
      </c>
      <c r="AC49" s="19">
        <f t="shared" si="35"/>
        <v>11.580367991851176</v>
      </c>
      <c r="AD49" s="17">
        <f t="shared" si="36"/>
        <v>5.3169303957648184</v>
      </c>
      <c r="AE49" s="17">
        <f t="shared" si="37"/>
        <v>0.53647478347047806</v>
      </c>
      <c r="AF49" s="17">
        <f t="shared" si="38"/>
        <v>2.1394140535715112</v>
      </c>
      <c r="AG49" s="19">
        <f t="shared" si="39"/>
        <v>13.732034786310212</v>
      </c>
      <c r="AH49" s="19">
        <f t="shared" si="40"/>
        <v>1.84987811891361</v>
      </c>
      <c r="AI49" s="19">
        <f t="shared" si="41"/>
        <v>5.613957294149146</v>
      </c>
      <c r="AJ49" s="29">
        <f t="shared" si="20"/>
        <v>0.14220872890246028</v>
      </c>
      <c r="AK49" s="29">
        <f t="shared" si="20"/>
        <v>0.57527200814882384</v>
      </c>
      <c r="AL49" s="29">
        <f t="shared" si="20"/>
        <v>0.11486960423518155</v>
      </c>
      <c r="AM49" s="29">
        <f t="shared" si="20"/>
        <v>1.1252165295219108E-3</v>
      </c>
      <c r="AN49" s="29">
        <f t="shared" si="21"/>
        <v>-2.510405357151102E-2</v>
      </c>
      <c r="AO49" s="30">
        <f t="shared" si="22"/>
        <v>-0.92158478631021268</v>
      </c>
      <c r="AP49" s="30">
        <f t="shared" si="23"/>
        <v>-1.8828118913609915E-2</v>
      </c>
      <c r="AQ49" s="30">
        <f t="shared" si="24"/>
        <v>-0.16663732929314623</v>
      </c>
    </row>
    <row r="50" spans="1:43" x14ac:dyDescent="0.35">
      <c r="A50">
        <v>47</v>
      </c>
      <c r="B50" t="s">
        <v>36</v>
      </c>
      <c r="C50">
        <v>15</v>
      </c>
      <c r="D50" s="15">
        <v>43704</v>
      </c>
      <c r="E50">
        <v>11.65264</v>
      </c>
      <c r="F50">
        <v>28.552779999999998</v>
      </c>
      <c r="G50">
        <v>13.661799999999999</v>
      </c>
      <c r="H50">
        <v>0.71679999999999999</v>
      </c>
      <c r="I50" s="5">
        <f t="shared" si="25"/>
        <v>54.584019999999995</v>
      </c>
      <c r="J50">
        <v>2.45079</v>
      </c>
      <c r="K50">
        <v>48.804690000000001</v>
      </c>
      <c r="L50">
        <v>1.7373400000000001</v>
      </c>
      <c r="M50">
        <v>6.4169999586000004E-2</v>
      </c>
      <c r="N50" s="2">
        <f t="shared" si="17"/>
        <v>52.992820000000002</v>
      </c>
      <c r="O50" s="2">
        <f t="shared" si="18"/>
        <v>1.479128779019716E-2</v>
      </c>
      <c r="P50" s="2"/>
      <c r="Q50" s="14">
        <v>0.97685276205309102</v>
      </c>
      <c r="R50">
        <f t="shared" si="26"/>
        <v>0.21348079529503325</v>
      </c>
      <c r="S50">
        <f t="shared" si="27"/>
        <v>0.52309778576220656</v>
      </c>
      <c r="T50">
        <f t="shared" si="28"/>
        <v>0.25028937040547766</v>
      </c>
      <c r="U50">
        <f t="shared" si="29"/>
        <v>1.3132048537282524E-2</v>
      </c>
      <c r="V50">
        <f t="shared" si="30"/>
        <v>4.6247585993725186E-2</v>
      </c>
      <c r="W50">
        <f t="shared" si="31"/>
        <v>0.92096797264233154</v>
      </c>
      <c r="X50">
        <f t="shared" si="32"/>
        <v>3.2784441363943269E-2</v>
      </c>
      <c r="Y50">
        <f t="shared" si="33"/>
        <v>1.2109187543897456E-3</v>
      </c>
      <c r="Z50" s="1">
        <f t="shared" si="19"/>
        <v>6.4443231742594698E-7</v>
      </c>
      <c r="AA50" s="1"/>
      <c r="AB50" s="17">
        <f t="shared" si="34"/>
        <v>11.59505858704293</v>
      </c>
      <c r="AC50" s="19">
        <f t="shared" si="35"/>
        <v>28.20705526144522</v>
      </c>
      <c r="AD50" s="17">
        <f t="shared" si="36"/>
        <v>13.582650257701491</v>
      </c>
      <c r="AE50" s="17">
        <f t="shared" si="37"/>
        <v>0.71658211383648662</v>
      </c>
      <c r="AF50" s="17">
        <f t="shared" si="38"/>
        <v>1.7386584139292158</v>
      </c>
      <c r="AG50" s="19">
        <f t="shared" si="39"/>
        <v>49.845101783232572</v>
      </c>
      <c r="AH50" s="19">
        <f t="shared" si="40"/>
        <v>2.4534135801978572</v>
      </c>
      <c r="AI50" s="19">
        <f t="shared" si="41"/>
        <v>6.4171798234161276E-2</v>
      </c>
      <c r="AJ50" s="29">
        <f t="shared" si="20"/>
        <v>5.7581412957070199E-2</v>
      </c>
      <c r="AK50" s="29">
        <f t="shared" si="20"/>
        <v>0.34572473855477881</v>
      </c>
      <c r="AL50" s="29">
        <f t="shared" si="20"/>
        <v>7.914974229850813E-2</v>
      </c>
      <c r="AM50" s="29">
        <f t="shared" si="20"/>
        <v>2.1788616351336998E-4</v>
      </c>
      <c r="AN50" s="29">
        <f t="shared" si="21"/>
        <v>-1.3184139292157226E-3</v>
      </c>
      <c r="AO50" s="30">
        <f t="shared" si="22"/>
        <v>-1.040411783232571</v>
      </c>
      <c r="AP50" s="30">
        <f t="shared" si="23"/>
        <v>-2.6235801978571338E-3</v>
      </c>
      <c r="AQ50" s="30">
        <f t="shared" si="24"/>
        <v>-1.798648161271954E-6</v>
      </c>
    </row>
    <row r="51" spans="1:43" x14ac:dyDescent="0.35">
      <c r="A51">
        <v>48</v>
      </c>
      <c r="B51" t="s">
        <v>36</v>
      </c>
      <c r="C51">
        <v>100</v>
      </c>
      <c r="D51" s="15">
        <v>43704</v>
      </c>
      <c r="E51">
        <v>79.220560000000006</v>
      </c>
      <c r="F51">
        <v>21.32227</v>
      </c>
      <c r="G51">
        <v>29.9572</v>
      </c>
      <c r="H51">
        <v>0.53759999999999997</v>
      </c>
      <c r="I51" s="5">
        <f t="shared" si="25"/>
        <v>131.03763000000001</v>
      </c>
      <c r="J51">
        <v>8.5636799999999997</v>
      </c>
      <c r="K51">
        <v>115.73148</v>
      </c>
      <c r="L51">
        <v>1.11452</v>
      </c>
      <c r="M51">
        <v>0.75577999512399996</v>
      </c>
      <c r="N51" s="2">
        <f t="shared" si="17"/>
        <v>125.40968000000001</v>
      </c>
      <c r="O51" s="2">
        <f t="shared" si="18"/>
        <v>2.1945833629528025E-2</v>
      </c>
      <c r="P51" s="2"/>
      <c r="Q51" s="14">
        <v>0.97058111242423939</v>
      </c>
      <c r="R51">
        <f t="shared" si="26"/>
        <v>0.60456343723554828</v>
      </c>
      <c r="S51">
        <f t="shared" si="27"/>
        <v>0.1627186785963696</v>
      </c>
      <c r="T51">
        <f t="shared" si="28"/>
        <v>0.22861524586487103</v>
      </c>
      <c r="U51">
        <f t="shared" si="29"/>
        <v>4.1026383032110696E-3</v>
      </c>
      <c r="V51">
        <f t="shared" si="30"/>
        <v>6.8285637918859207E-2</v>
      </c>
      <c r="W51">
        <f t="shared" si="31"/>
        <v>0.92282732879949936</v>
      </c>
      <c r="X51">
        <f t="shared" si="32"/>
        <v>8.8870332816414158E-3</v>
      </c>
      <c r="Y51">
        <f t="shared" si="33"/>
        <v>6.0264885065012515E-3</v>
      </c>
      <c r="Z51" s="1">
        <f t="shared" si="19"/>
        <v>2.6867397195928788E-14</v>
      </c>
      <c r="AA51" s="1"/>
      <c r="AB51" s="17">
        <f t="shared" si="34"/>
        <v>77.811576092035352</v>
      </c>
      <c r="AC51" s="19">
        <f t="shared" si="35"/>
        <v>21.220200239946262</v>
      </c>
      <c r="AD51" s="17">
        <f t="shared" si="36"/>
        <v>29.755719669459946</v>
      </c>
      <c r="AE51" s="17">
        <f t="shared" si="37"/>
        <v>0.5375351143384286</v>
      </c>
      <c r="AF51" s="17">
        <f t="shared" si="38"/>
        <v>1.1148113875014052</v>
      </c>
      <c r="AG51" s="19">
        <f t="shared" si="39"/>
        <v>118.87342226921476</v>
      </c>
      <c r="AH51" s="19">
        <f t="shared" si="40"/>
        <v>8.5808834697485956</v>
      </c>
      <c r="AI51" s="19">
        <f t="shared" si="41"/>
        <v>0.75591398931518028</v>
      </c>
      <c r="AJ51" s="29">
        <f t="shared" si="20"/>
        <v>1.4089839079646538</v>
      </c>
      <c r="AK51" s="29">
        <f t="shared" si="20"/>
        <v>0.10206976005373747</v>
      </c>
      <c r="AL51" s="29">
        <f t="shared" si="20"/>
        <v>0.2014803305400541</v>
      </c>
      <c r="AM51" s="29">
        <f t="shared" si="20"/>
        <v>6.488566157136777E-5</v>
      </c>
      <c r="AN51" s="29">
        <f t="shared" si="21"/>
        <v>-2.9138750140522696E-4</v>
      </c>
      <c r="AO51" s="30">
        <f t="shared" si="22"/>
        <v>-3.1419422692147521</v>
      </c>
      <c r="AP51" s="30">
        <f t="shared" si="23"/>
        <v>-1.7203469748595879E-2</v>
      </c>
      <c r="AQ51" s="30">
        <f t="shared" si="24"/>
        <v>-1.3399419118031997E-4</v>
      </c>
    </row>
    <row r="52" spans="1:43" x14ac:dyDescent="0.35">
      <c r="A52">
        <v>49</v>
      </c>
      <c r="B52" t="s">
        <v>42</v>
      </c>
      <c r="C52">
        <v>100</v>
      </c>
      <c r="D52" s="15">
        <v>43704</v>
      </c>
      <c r="E52">
        <v>102.04756</v>
      </c>
      <c r="F52">
        <v>21.676559999999998</v>
      </c>
      <c r="G52">
        <v>29.3811</v>
      </c>
      <c r="H52">
        <v>0.51200000000000001</v>
      </c>
      <c r="I52" s="5">
        <f t="shared" si="25"/>
        <v>153.61722</v>
      </c>
      <c r="J52">
        <v>10.225709999999999</v>
      </c>
      <c r="K52">
        <v>134.41598999999999</v>
      </c>
      <c r="L52">
        <v>1.29481</v>
      </c>
      <c r="M52">
        <v>0.84133999457200004</v>
      </c>
      <c r="N52" s="2">
        <f t="shared" si="17"/>
        <v>145.93651</v>
      </c>
      <c r="O52" s="2">
        <f t="shared" si="18"/>
        <v>2.5640508632624955E-2</v>
      </c>
      <c r="P52" s="2"/>
      <c r="Q52" s="14">
        <v>0.96597457740533688</v>
      </c>
      <c r="R52">
        <f t="shared" si="26"/>
        <v>0.66429766142103086</v>
      </c>
      <c r="S52">
        <f t="shared" si="27"/>
        <v>0.14110761801313679</v>
      </c>
      <c r="T52">
        <f t="shared" si="28"/>
        <v>0.1912617608885254</v>
      </c>
      <c r="U52">
        <f t="shared" si="29"/>
        <v>3.3329596773070103E-3</v>
      </c>
      <c r="V52">
        <f t="shared" si="30"/>
        <v>7.0069580257880626E-2</v>
      </c>
      <c r="W52">
        <f t="shared" si="31"/>
        <v>0.92105799981101366</v>
      </c>
      <c r="X52">
        <f t="shared" si="32"/>
        <v>8.8724199311056573E-3</v>
      </c>
      <c r="Y52">
        <f t="shared" si="33"/>
        <v>5.7651097355418462E-3</v>
      </c>
      <c r="Z52" s="1">
        <f t="shared" si="19"/>
        <v>7.382983113757291E-14</v>
      </c>
      <c r="AA52" s="1"/>
      <c r="AB52" s="17">
        <f t="shared" si="34"/>
        <v>99.740978117741506</v>
      </c>
      <c r="AC52" s="19">
        <f t="shared" si="35"/>
        <v>21.572485495761427</v>
      </c>
      <c r="AD52" s="17">
        <f t="shared" si="36"/>
        <v>29.189894786837659</v>
      </c>
      <c r="AE52" s="17">
        <f t="shared" si="37"/>
        <v>0.51194193645490615</v>
      </c>
      <c r="AF52" s="17">
        <f t="shared" si="38"/>
        <v>1.2952008873909939</v>
      </c>
      <c r="AG52" s="19">
        <f t="shared" si="39"/>
        <v>138.62850482070056</v>
      </c>
      <c r="AH52" s="19">
        <f t="shared" si="40"/>
        <v>10.250089596630321</v>
      </c>
      <c r="AI52" s="19">
        <f t="shared" si="41"/>
        <v>0.84150503207357807</v>
      </c>
      <c r="AJ52" s="29">
        <f t="shared" si="20"/>
        <v>2.3065818822584987</v>
      </c>
      <c r="AK52" s="29">
        <f t="shared" si="20"/>
        <v>0.10407450423857156</v>
      </c>
      <c r="AL52" s="29">
        <f t="shared" si="20"/>
        <v>0.19120521316234118</v>
      </c>
      <c r="AM52" s="29">
        <f t="shared" si="20"/>
        <v>5.8063545093856028E-5</v>
      </c>
      <c r="AN52" s="29">
        <f t="shared" si="21"/>
        <v>-3.9088739099391034E-4</v>
      </c>
      <c r="AO52" s="30">
        <f t="shared" si="22"/>
        <v>-4.2125148207005623</v>
      </c>
      <c r="AP52" s="30">
        <f t="shared" si="23"/>
        <v>-2.4379596630321743E-2</v>
      </c>
      <c r="AQ52" s="30">
        <f t="shared" si="24"/>
        <v>-1.6503750157803587E-4</v>
      </c>
    </row>
    <row r="53" spans="1:43" x14ac:dyDescent="0.35">
      <c r="A53">
        <v>50</v>
      </c>
      <c r="B53" t="s">
        <v>34</v>
      </c>
      <c r="C53">
        <v>15</v>
      </c>
      <c r="D53" s="15">
        <v>43704</v>
      </c>
      <c r="E53">
        <v>14.565799999999999</v>
      </c>
      <c r="F53">
        <v>19.895130000000002</v>
      </c>
      <c r="G53">
        <v>9.7113999999999994</v>
      </c>
      <c r="H53">
        <v>0.58879999999999999</v>
      </c>
      <c r="I53" s="5">
        <f t="shared" si="25"/>
        <v>44.761130000000001</v>
      </c>
      <c r="J53">
        <v>1.6338600000000001</v>
      </c>
      <c r="K53">
        <v>38.931269999999998</v>
      </c>
      <c r="L53">
        <v>1.83568</v>
      </c>
      <c r="M53">
        <v>4.2779999723999998E-2</v>
      </c>
      <c r="N53" s="2">
        <f t="shared" si="17"/>
        <v>42.400809999999993</v>
      </c>
      <c r="O53" s="2">
        <f t="shared" si="18"/>
        <v>2.7079709331848386E-2</v>
      </c>
      <c r="P53" s="2"/>
      <c r="Q53" s="14">
        <v>0.95507388115226532</v>
      </c>
      <c r="R53">
        <f t="shared" si="26"/>
        <v>0.32541180260641317</v>
      </c>
      <c r="S53">
        <f t="shared" si="27"/>
        <v>0.44447336338470456</v>
      </c>
      <c r="T53">
        <f t="shared" si="28"/>
        <v>0.21696056377486447</v>
      </c>
      <c r="U53">
        <f t="shared" si="29"/>
        <v>1.3154270234017773E-2</v>
      </c>
      <c r="V53">
        <f t="shared" si="30"/>
        <v>3.8533697823225556E-2</v>
      </c>
      <c r="W53">
        <f t="shared" si="31"/>
        <v>0.91817278962359461</v>
      </c>
      <c r="X53">
        <f t="shared" si="32"/>
        <v>4.3293512553180008E-2</v>
      </c>
      <c r="Y53">
        <f t="shared" si="33"/>
        <v>1.0089429830232018E-3</v>
      </c>
      <c r="Z53" s="1">
        <f t="shared" si="19"/>
        <v>-1.7055801215803967E-14</v>
      </c>
      <c r="AA53" s="1"/>
      <c r="AB53" s="17">
        <f t="shared" si="34"/>
        <v>14.352855442486758</v>
      </c>
      <c r="AC53" s="19">
        <f t="shared" si="35"/>
        <v>19.497854829768869</v>
      </c>
      <c r="AD53" s="17">
        <f t="shared" si="36"/>
        <v>9.6167410800525772</v>
      </c>
      <c r="AE53" s="17">
        <f t="shared" si="37"/>
        <v>0.58845203668271517</v>
      </c>
      <c r="AF53" s="17">
        <f t="shared" si="38"/>
        <v>1.8392504150211537</v>
      </c>
      <c r="AG53" s="19">
        <f t="shared" si="39"/>
        <v>40.537182546538816</v>
      </c>
      <c r="AH53" s="19">
        <f t="shared" si="40"/>
        <v>1.6366884885797437</v>
      </c>
      <c r="AI53" s="19">
        <f t="shared" si="41"/>
        <v>4.2781938851222903E-2</v>
      </c>
      <c r="AJ53" s="29">
        <f t="shared" si="20"/>
        <v>0.21294455751324115</v>
      </c>
      <c r="AK53" s="29">
        <f t="shared" si="20"/>
        <v>0.39727517023113279</v>
      </c>
      <c r="AL53" s="29">
        <f t="shared" si="20"/>
        <v>9.4658919947422149E-2</v>
      </c>
      <c r="AM53" s="29">
        <f t="shared" si="20"/>
        <v>3.4796331728481622E-4</v>
      </c>
      <c r="AN53" s="29">
        <f t="shared" si="21"/>
        <v>-3.5704150211537389E-3</v>
      </c>
      <c r="AO53" s="30">
        <f t="shared" si="22"/>
        <v>-1.6059125465388178</v>
      </c>
      <c r="AP53" s="30">
        <f t="shared" si="23"/>
        <v>-2.8284885797436043E-3</v>
      </c>
      <c r="AQ53" s="30">
        <f t="shared" si="24"/>
        <v>-1.9391272229052348E-6</v>
      </c>
    </row>
    <row r="54" spans="1:43" x14ac:dyDescent="0.35">
      <c r="A54">
        <v>51</v>
      </c>
      <c r="B54" t="s">
        <v>34</v>
      </c>
      <c r="C54">
        <v>100</v>
      </c>
      <c r="D54" s="15">
        <v>43704</v>
      </c>
      <c r="E54">
        <v>9.5221199999999993</v>
      </c>
      <c r="F54">
        <v>8.0937800000000006</v>
      </c>
      <c r="G54">
        <v>4.7733999999999996</v>
      </c>
      <c r="H54">
        <v>0.30719999999999997</v>
      </c>
      <c r="I54" s="5">
        <f t="shared" si="25"/>
        <v>22.6965</v>
      </c>
      <c r="J54">
        <v>0.70425000000000004</v>
      </c>
      <c r="K54">
        <v>17.309729999999998</v>
      </c>
      <c r="L54">
        <v>2.3765499999999999</v>
      </c>
      <c r="M54">
        <v>0.42066999728600002</v>
      </c>
      <c r="N54" s="2">
        <f t="shared" si="17"/>
        <v>20.390529999999998</v>
      </c>
      <c r="O54" s="2">
        <f t="shared" si="18"/>
        <v>5.3518889559108669E-2</v>
      </c>
      <c r="P54" s="2"/>
      <c r="Q54" s="14">
        <v>0.91764987680451215</v>
      </c>
      <c r="R54">
        <f t="shared" si="26"/>
        <v>0.41954133897296936</v>
      </c>
      <c r="S54">
        <f t="shared" si="27"/>
        <v>0.35660916881457494</v>
      </c>
      <c r="T54">
        <f t="shared" si="28"/>
        <v>0.21031436565109157</v>
      </c>
      <c r="U54">
        <f t="shared" si="29"/>
        <v>1.3535126561364085E-2</v>
      </c>
      <c r="V54">
        <f t="shared" si="30"/>
        <v>3.4538091947585475E-2</v>
      </c>
      <c r="W54">
        <f t="shared" si="31"/>
        <v>0.84891025392670028</v>
      </c>
      <c r="X54">
        <f t="shared" si="32"/>
        <v>0.11655165412571425</v>
      </c>
      <c r="Y54">
        <f t="shared" si="33"/>
        <v>2.0630655372175222E-2</v>
      </c>
      <c r="Z54" s="1">
        <f t="shared" si="19"/>
        <v>4.3298697960381105E-15</v>
      </c>
      <c r="AA54" s="1"/>
      <c r="AB54" s="17">
        <f t="shared" si="34"/>
        <v>9.1931376008801564</v>
      </c>
      <c r="AC54" s="19">
        <f t="shared" si="35"/>
        <v>7.8560915087772658</v>
      </c>
      <c r="AD54" s="17">
        <f t="shared" si="36"/>
        <v>4.6907275095887906</v>
      </c>
      <c r="AE54" s="17">
        <f t="shared" si="37"/>
        <v>0.30685758893881498</v>
      </c>
      <c r="AF54" s="17">
        <f t="shared" si="38"/>
        <v>2.3993602292720073</v>
      </c>
      <c r="AG54" s="19">
        <f t="shared" si="39"/>
        <v>18.519816250591685</v>
      </c>
      <c r="AH54" s="19">
        <f t="shared" si="40"/>
        <v>0.70625303920731353</v>
      </c>
      <c r="AI54" s="19">
        <f t="shared" si="41"/>
        <v>0.42138468911401783</v>
      </c>
      <c r="AJ54" s="29">
        <f t="shared" si="20"/>
        <v>0.32898239911984284</v>
      </c>
      <c r="AK54" s="29">
        <f t="shared" si="20"/>
        <v>0.23768849122273483</v>
      </c>
      <c r="AL54" s="29">
        <f t="shared" si="20"/>
        <v>8.2672490411209054E-2</v>
      </c>
      <c r="AM54" s="29">
        <f t="shared" si="20"/>
        <v>3.4241106118498843E-4</v>
      </c>
      <c r="AN54" s="29">
        <f t="shared" si="21"/>
        <v>-2.2810229272007376E-2</v>
      </c>
      <c r="AO54" s="30">
        <f t="shared" si="22"/>
        <v>-1.2100862505916865</v>
      </c>
      <c r="AP54" s="30">
        <f t="shared" si="23"/>
        <v>-2.0030392073134839E-3</v>
      </c>
      <c r="AQ54" s="30">
        <f t="shared" si="24"/>
        <v>-7.146918280178105E-4</v>
      </c>
    </row>
    <row r="55" spans="1:43" x14ac:dyDescent="0.35">
      <c r="A55">
        <v>52</v>
      </c>
      <c r="B55" t="s">
        <v>43</v>
      </c>
      <c r="C55">
        <v>15</v>
      </c>
      <c r="D55" s="15">
        <v>43704</v>
      </c>
      <c r="E55">
        <v>5.2176</v>
      </c>
      <c r="F55">
        <v>10.64367</v>
      </c>
      <c r="G55">
        <v>4.9379999999999997</v>
      </c>
      <c r="H55">
        <v>0.46079999999999999</v>
      </c>
      <c r="I55" s="5">
        <f t="shared" si="25"/>
        <v>21.260069999999999</v>
      </c>
      <c r="J55">
        <v>0.78876000000000002</v>
      </c>
      <c r="K55">
        <v>16.559850000000001</v>
      </c>
      <c r="L55">
        <v>2.2946</v>
      </c>
      <c r="M55">
        <v>3.5649999770000003E-2</v>
      </c>
      <c r="N55" s="2">
        <f t="shared" si="17"/>
        <v>19.64321</v>
      </c>
      <c r="O55" s="2">
        <f t="shared" si="18"/>
        <v>3.9528859299303117E-2</v>
      </c>
      <c r="P55" s="2"/>
      <c r="Q55" s="14">
        <v>0.92821274350531491</v>
      </c>
      <c r="R55">
        <f t="shared" si="26"/>
        <v>0.2454178184737868</v>
      </c>
      <c r="S55">
        <f t="shared" si="27"/>
        <v>0.50064134313762843</v>
      </c>
      <c r="T55">
        <f t="shared" si="28"/>
        <v>0.23226640363836995</v>
      </c>
      <c r="U55">
        <f t="shared" si="29"/>
        <v>2.1674434750214841E-2</v>
      </c>
      <c r="V55">
        <f t="shared" si="30"/>
        <v>4.0154333227614018E-2</v>
      </c>
      <c r="W55">
        <f t="shared" si="31"/>
        <v>0.84303176517483658</v>
      </c>
      <c r="X55">
        <f t="shared" si="32"/>
        <v>0.11681390159754948</v>
      </c>
      <c r="Y55">
        <f t="shared" si="33"/>
        <v>1.8148764774189149E-3</v>
      </c>
      <c r="Z55" s="1">
        <f t="shared" si="19"/>
        <v>2.0445119891521202E-7</v>
      </c>
      <c r="AA55" s="1"/>
      <c r="AB55" s="17">
        <f t="shared" si="34"/>
        <v>5.1256769916625089</v>
      </c>
      <c r="AC55" s="19">
        <f t="shared" si="35"/>
        <v>10.26114002845245</v>
      </c>
      <c r="AD55" s="17">
        <f t="shared" si="36"/>
        <v>4.8556649341439426</v>
      </c>
      <c r="AE55" s="17">
        <f t="shared" si="37"/>
        <v>0.46008301906631072</v>
      </c>
      <c r="AF55" s="17">
        <f t="shared" si="38"/>
        <v>2.3138419408397075</v>
      </c>
      <c r="AG55" s="19">
        <f t="shared" si="39"/>
        <v>17.562034528149212</v>
      </c>
      <c r="AH55" s="19">
        <f t="shared" si="40"/>
        <v>0.7910336554547599</v>
      </c>
      <c r="AI55" s="19">
        <f t="shared" si="41"/>
        <v>3.5654644430333782E-2</v>
      </c>
      <c r="AJ55" s="29">
        <f t="shared" si="20"/>
        <v>9.1923008337491119E-2</v>
      </c>
      <c r="AK55" s="29">
        <f t="shared" si="20"/>
        <v>0.38252997154754986</v>
      </c>
      <c r="AL55" s="29">
        <f t="shared" si="20"/>
        <v>8.2335065856057099E-2</v>
      </c>
      <c r="AM55" s="29">
        <f t="shared" si="20"/>
        <v>7.1698093368927074E-4</v>
      </c>
      <c r="AN55" s="29">
        <f t="shared" si="21"/>
        <v>-1.9241940839707539E-2</v>
      </c>
      <c r="AO55" s="30">
        <f t="shared" si="22"/>
        <v>-1.0021845281492112</v>
      </c>
      <c r="AP55" s="30">
        <f t="shared" si="23"/>
        <v>-2.273655454759882E-3</v>
      </c>
      <c r="AQ55" s="30">
        <f t="shared" si="24"/>
        <v>-4.6446603337788051E-6</v>
      </c>
    </row>
    <row r="56" spans="1:43" x14ac:dyDescent="0.35">
      <c r="A56">
        <v>53</v>
      </c>
      <c r="B56" t="s">
        <v>43</v>
      </c>
      <c r="C56">
        <v>50</v>
      </c>
      <c r="D56" s="15">
        <v>43704</v>
      </c>
      <c r="E56">
        <v>4.47844</v>
      </c>
      <c r="F56">
        <v>5.8682400000000001</v>
      </c>
      <c r="G56">
        <v>2.8805000000000001</v>
      </c>
      <c r="H56">
        <v>0.38400000000000001</v>
      </c>
      <c r="I56" s="5">
        <f t="shared" si="25"/>
        <v>13.611179999999999</v>
      </c>
      <c r="J56">
        <v>0.59157000000000004</v>
      </c>
      <c r="K56">
        <v>8.7485999999999997</v>
      </c>
      <c r="L56">
        <v>2.6387900000000002</v>
      </c>
      <c r="M56">
        <v>2.8519999816000001E-2</v>
      </c>
      <c r="N56" s="2">
        <f t="shared" si="17"/>
        <v>11.978960000000001</v>
      </c>
      <c r="O56" s="2">
        <f t="shared" si="18"/>
        <v>6.3783160232808361E-2</v>
      </c>
      <c r="P56" s="2"/>
      <c r="Q56" s="14">
        <v>0.86203410809062864</v>
      </c>
      <c r="R56">
        <f t="shared" si="26"/>
        <v>0.32902657962057663</v>
      </c>
      <c r="S56">
        <f t="shared" si="27"/>
        <v>0.4311338179349623</v>
      </c>
      <c r="T56">
        <f t="shared" si="28"/>
        <v>0.21162750033428404</v>
      </c>
      <c r="U56">
        <f t="shared" si="29"/>
        <v>2.8212102110177079E-2</v>
      </c>
      <c r="V56">
        <f t="shared" si="30"/>
        <v>4.9384086765462111E-2</v>
      </c>
      <c r="W56">
        <f t="shared" si="31"/>
        <v>0.73033051283249961</v>
      </c>
      <c r="X56">
        <f t="shared" si="32"/>
        <v>0.22028540040203826</v>
      </c>
      <c r="Y56">
        <f t="shared" si="33"/>
        <v>2.3808410593240147E-3</v>
      </c>
      <c r="Z56" s="1">
        <f t="shared" si="19"/>
        <v>1.1587952819525071E-15</v>
      </c>
      <c r="AA56" s="1"/>
      <c r="AB56" s="17">
        <f t="shared" si="34"/>
        <v>4.2751436994088028</v>
      </c>
      <c r="AC56" s="19">
        <f t="shared" si="35"/>
        <v>5.5191867465825757</v>
      </c>
      <c r="AD56" s="17">
        <f t="shared" si="36"/>
        <v>2.7963969560234117</v>
      </c>
      <c r="AE56" s="17">
        <f t="shared" si="37"/>
        <v>0.38250535379317679</v>
      </c>
      <c r="AF56" s="17">
        <f t="shared" si="38"/>
        <v>2.7189877672316456</v>
      </c>
      <c r="AG56" s="19">
        <f t="shared" si="39"/>
        <v>9.6301150651953602</v>
      </c>
      <c r="AH56" s="19">
        <f t="shared" si="40"/>
        <v>0.5956005554620043</v>
      </c>
      <c r="AI56" s="19">
        <f t="shared" si="41"/>
        <v>2.8529367918953726E-2</v>
      </c>
      <c r="AJ56" s="29">
        <f t="shared" si="20"/>
        <v>0.20329630059119719</v>
      </c>
      <c r="AK56" s="29">
        <f t="shared" si="20"/>
        <v>0.34905325341742444</v>
      </c>
      <c r="AL56" s="29">
        <f t="shared" si="20"/>
        <v>8.410304397658841E-2</v>
      </c>
      <c r="AM56" s="29">
        <f t="shared" si="20"/>
        <v>1.4946462068232136E-3</v>
      </c>
      <c r="AN56" s="29">
        <f t="shared" si="21"/>
        <v>-8.01977672316454E-2</v>
      </c>
      <c r="AO56" s="30">
        <f t="shared" si="22"/>
        <v>-0.88151506519536049</v>
      </c>
      <c r="AP56" s="30">
        <f t="shared" si="23"/>
        <v>-4.0305554620042594E-3</v>
      </c>
      <c r="AQ56" s="30">
        <f t="shared" si="24"/>
        <v>-9.3681029537245886E-6</v>
      </c>
    </row>
    <row r="57" spans="1:43" x14ac:dyDescent="0.35">
      <c r="A57">
        <v>54</v>
      </c>
      <c r="B57" t="s">
        <v>43</v>
      </c>
      <c r="C57">
        <v>100</v>
      </c>
      <c r="D57" s="15">
        <v>43704</v>
      </c>
      <c r="E57">
        <v>28.13156</v>
      </c>
      <c r="F57">
        <v>22.89911</v>
      </c>
      <c r="G57">
        <v>17.941400000000002</v>
      </c>
      <c r="H57">
        <v>0.23039999999999999</v>
      </c>
      <c r="I57" s="5">
        <f t="shared" si="25"/>
        <v>69.202470000000005</v>
      </c>
      <c r="J57">
        <v>1.29582</v>
      </c>
      <c r="K57">
        <v>61.490160000000003</v>
      </c>
      <c r="L57">
        <v>1.4259299999999999</v>
      </c>
      <c r="M57">
        <v>0.22815999852800001</v>
      </c>
      <c r="N57" s="2">
        <f t="shared" si="17"/>
        <v>64.211910000000003</v>
      </c>
      <c r="O57" s="2">
        <f t="shared" si="18"/>
        <v>3.7406462481780464E-2</v>
      </c>
      <c r="P57" s="2"/>
      <c r="Q57" s="14">
        <v>0.94234923820681771</v>
      </c>
      <c r="R57">
        <f t="shared" si="26"/>
        <v>0.406510923670788</v>
      </c>
      <c r="S57">
        <f t="shared" si="27"/>
        <v>0.33090018318710296</v>
      </c>
      <c r="T57">
        <f t="shared" si="28"/>
        <v>0.25925953221033876</v>
      </c>
      <c r="U57">
        <f t="shared" si="29"/>
        <v>3.3293609317702096E-3</v>
      </c>
      <c r="V57">
        <f t="shared" si="30"/>
        <v>2.018036840829061E-2</v>
      </c>
      <c r="W57">
        <f t="shared" si="31"/>
        <v>0.95761300356896406</v>
      </c>
      <c r="X57">
        <f t="shared" si="32"/>
        <v>2.2206628022745312E-2</v>
      </c>
      <c r="Y57">
        <f t="shared" si="33"/>
        <v>3.5532348831860006E-3</v>
      </c>
      <c r="Z57" s="1">
        <f t="shared" si="19"/>
        <v>6.6058269965196814E-15</v>
      </c>
      <c r="AA57" s="1"/>
      <c r="AB57" s="17">
        <f t="shared" si="34"/>
        <v>27.47227820003561</v>
      </c>
      <c r="AC57" s="19">
        <f t="shared" si="35"/>
        <v>22.462271747300701</v>
      </c>
      <c r="AD57" s="17">
        <f t="shared" si="36"/>
        <v>17.673238693845438</v>
      </c>
      <c r="AE57" s="17">
        <f t="shared" si="37"/>
        <v>0.23035577697930215</v>
      </c>
      <c r="AF57" s="17">
        <f t="shared" si="38"/>
        <v>1.4277555169698666</v>
      </c>
      <c r="AG57" s="19">
        <f t="shared" si="39"/>
        <v>64.884854590214189</v>
      </c>
      <c r="AH57" s="19">
        <f t="shared" si="40"/>
        <v>1.2973275746267083</v>
      </c>
      <c r="AI57" s="19">
        <f t="shared" si="41"/>
        <v>0.22820673635027894</v>
      </c>
      <c r="AJ57" s="29">
        <f t="shared" si="20"/>
        <v>0.65928179996438985</v>
      </c>
      <c r="AK57" s="29">
        <f t="shared" si="20"/>
        <v>0.43683825269929955</v>
      </c>
      <c r="AL57" s="29">
        <f t="shared" si="20"/>
        <v>0.26816130615456402</v>
      </c>
      <c r="AM57" s="29">
        <f t="shared" si="20"/>
        <v>4.422302069784223E-5</v>
      </c>
      <c r="AN57" s="29">
        <f t="shared" si="21"/>
        <v>-1.8255169698666585E-3</v>
      </c>
      <c r="AO57" s="30">
        <f t="shared" si="22"/>
        <v>-3.3946945902141863</v>
      </c>
      <c r="AP57" s="30">
        <f t="shared" si="23"/>
        <v>-1.5075746267083634E-3</v>
      </c>
      <c r="AQ57" s="30">
        <f t="shared" si="24"/>
        <v>-4.673782227893053E-5</v>
      </c>
    </row>
    <row r="58" spans="1:43" x14ac:dyDescent="0.35">
      <c r="A58">
        <v>55</v>
      </c>
      <c r="B58" t="s">
        <v>44</v>
      </c>
      <c r="C58">
        <v>100</v>
      </c>
      <c r="D58" s="15">
        <v>43704</v>
      </c>
      <c r="E58">
        <v>110.26528</v>
      </c>
      <c r="F58">
        <v>20.234449999999999</v>
      </c>
      <c r="G58">
        <v>31.191700000000001</v>
      </c>
      <c r="H58">
        <v>0.61439999999999995</v>
      </c>
      <c r="I58" s="5">
        <f t="shared" si="25"/>
        <v>162.30582999999999</v>
      </c>
      <c r="J58">
        <v>13.43709</v>
      </c>
      <c r="K58">
        <v>141.72731999999999</v>
      </c>
      <c r="L58">
        <v>1.4259299999999999</v>
      </c>
      <c r="M58">
        <v>1.1122799928239999</v>
      </c>
      <c r="N58" s="2">
        <f t="shared" si="17"/>
        <v>156.59034</v>
      </c>
      <c r="O58" s="2">
        <f t="shared" si="18"/>
        <v>1.7922730147558651E-2</v>
      </c>
      <c r="P58" s="2"/>
      <c r="Q58" s="14">
        <v>0.97837639231006635</v>
      </c>
      <c r="R58">
        <f t="shared" si="26"/>
        <v>0.67936734003947985</v>
      </c>
      <c r="S58">
        <f t="shared" si="27"/>
        <v>0.12466865792806088</v>
      </c>
      <c r="T58">
        <f t="shared" si="28"/>
        <v>0.19217855575489803</v>
      </c>
      <c r="U58">
        <f t="shared" si="29"/>
        <v>3.7854462775613173E-3</v>
      </c>
      <c r="V58">
        <f t="shared" si="30"/>
        <v>8.5810465703056782E-2</v>
      </c>
      <c r="W58">
        <f t="shared" si="31"/>
        <v>0.9050834170230424</v>
      </c>
      <c r="X58">
        <f t="shared" si="32"/>
        <v>9.1061172739008035E-3</v>
      </c>
      <c r="Y58">
        <f t="shared" si="33"/>
        <v>7.1031201083285207E-3</v>
      </c>
      <c r="Z58" s="1">
        <f t="shared" si="19"/>
        <v>6.6613381477509392E-15</v>
      </c>
      <c r="AA58" s="1"/>
      <c r="AB58" s="17">
        <f t="shared" si="34"/>
        <v>108.64544192567301</v>
      </c>
      <c r="AC58" s="19">
        <f t="shared" si="35"/>
        <v>20.179902249931732</v>
      </c>
      <c r="AD58" s="17">
        <f t="shared" si="36"/>
        <v>31.062079968110545</v>
      </c>
      <c r="AE58" s="17">
        <f t="shared" si="37"/>
        <v>0.61434970828478219</v>
      </c>
      <c r="AF58" s="17">
        <f t="shared" si="38"/>
        <v>1.4262107757518108</v>
      </c>
      <c r="AG58" s="19">
        <f t="shared" si="39"/>
        <v>144.50108929427361</v>
      </c>
      <c r="AH58" s="19">
        <f t="shared" si="40"/>
        <v>13.462022948413285</v>
      </c>
      <c r="AI58" s="19">
        <f t="shared" si="41"/>
        <v>1.1124508335613688</v>
      </c>
      <c r="AJ58" s="29">
        <f t="shared" ref="AJ58" si="42">E58-AB58</f>
        <v>1.6198380743269922</v>
      </c>
      <c r="AK58" s="29">
        <f t="shared" ref="AK58" si="43">F58-AC58</f>
        <v>5.454775006826651E-2</v>
      </c>
      <c r="AL58" s="29">
        <f t="shared" ref="AL58:AM58" si="44">G58-AD58</f>
        <v>0.12962003188945559</v>
      </c>
      <c r="AM58" s="29">
        <f t="shared" si="44"/>
        <v>5.0291715217753996E-5</v>
      </c>
      <c r="AN58" s="29">
        <f t="shared" si="21"/>
        <v>-2.8077575181084669E-4</v>
      </c>
      <c r="AO58" s="30">
        <f t="shared" si="22"/>
        <v>-2.7737692942736203</v>
      </c>
      <c r="AP58" s="30">
        <f t="shared" si="23"/>
        <v>-2.4932948413285416E-2</v>
      </c>
      <c r="AQ58" s="30">
        <f t="shared" si="24"/>
        <v>-1.7084073736883809E-4</v>
      </c>
    </row>
    <row r="59" spans="1:43" x14ac:dyDescent="0.35"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2"/>
      <c r="AK59" s="2"/>
    </row>
    <row r="60" spans="1:43" x14ac:dyDescent="0.35">
      <c r="V60" t="s">
        <v>45</v>
      </c>
      <c r="W60">
        <f>AVERAGE(W4:W58)</f>
        <v>0.84295157121048214</v>
      </c>
      <c r="Z60" s="1"/>
      <c r="AA60" s="1"/>
      <c r="AB60" s="1"/>
      <c r="AC60" s="1"/>
      <c r="AD60" s="1"/>
      <c r="AE60" s="1"/>
      <c r="AF60" s="1"/>
      <c r="AG60" s="1"/>
      <c r="AH60" s="1"/>
      <c r="AI60" s="1" t="s">
        <v>60</v>
      </c>
      <c r="AJ60" s="2">
        <f>AVERAGE(AJ4:AJ58)</f>
        <v>0.46663560380827834</v>
      </c>
      <c r="AK60" s="2">
        <f t="shared" ref="AK60:AQ60" si="45">AVERAGE(AK4:AK58)</f>
        <v>-0.12284717448920346</v>
      </c>
      <c r="AL60" s="2">
        <f t="shared" si="45"/>
        <v>3.5329501799989463E-3</v>
      </c>
      <c r="AM60" s="2">
        <f t="shared" si="45"/>
        <v>3.0881405355328499E-4</v>
      </c>
      <c r="AN60" s="2">
        <f t="shared" si="45"/>
        <v>0.44033173926341451</v>
      </c>
      <c r="AO60" s="2">
        <f t="shared" si="45"/>
        <v>-0.84183702914548397</v>
      </c>
      <c r="AP60" s="2">
        <f t="shared" si="45"/>
        <v>-1.4390981383139248E-2</v>
      </c>
      <c r="AQ60" s="2">
        <f t="shared" si="45"/>
        <v>-6.5686989102591853E-3</v>
      </c>
    </row>
    <row r="61" spans="1:43" x14ac:dyDescent="0.35">
      <c r="V61" t="s">
        <v>46</v>
      </c>
      <c r="W61">
        <f>_xlfn.STDEV.S(W4:W58)</f>
        <v>0.13053417012501331</v>
      </c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2"/>
      <c r="AK61" s="2"/>
    </row>
    <row r="62" spans="1:43" x14ac:dyDescent="0.35">
      <c r="V62" t="s">
        <v>47</v>
      </c>
      <c r="W62">
        <f>MIN(W4:W58)</f>
        <v>0.40160056395398525</v>
      </c>
    </row>
    <row r="63" spans="1:43" x14ac:dyDescent="0.35">
      <c r="V63" t="s">
        <v>48</v>
      </c>
      <c r="W63">
        <f>MAX(W4:W58)</f>
        <v>0.96522709921862726</v>
      </c>
    </row>
    <row r="64" spans="1:43" x14ac:dyDescent="0.35">
      <c r="V64" t="s">
        <v>49</v>
      </c>
      <c r="W64">
        <f>_xlfn.CONFIDENCE.NORM(0.05,W61,COUNT(W4:W58))</f>
        <v>3.4497764945479965E-2</v>
      </c>
    </row>
    <row r="65" spans="22:23" x14ac:dyDescent="0.35">
      <c r="V65" t="s">
        <v>50</v>
      </c>
      <c r="W65">
        <f>_xlfn.CONFIDENCE.T(0.05,W61,COUNT(W4:W58))</f>
        <v>3.5288329261929548E-2</v>
      </c>
    </row>
    <row r="66" spans="22:23" x14ac:dyDescent="0.35">
      <c r="V66" t="s">
        <v>51</v>
      </c>
      <c r="W66">
        <f>COUNTIF(W4:W58,"&gt;"&amp;W60)</f>
        <v>40</v>
      </c>
    </row>
    <row r="67" spans="22:23" x14ac:dyDescent="0.35">
      <c r="V67" s="23"/>
    </row>
  </sheetData>
  <mergeCells count="2">
    <mergeCell ref="E1:N1"/>
    <mergeCell ref="AB1:AH1"/>
  </mergeCells>
  <conditionalFormatting sqref="W4:W58">
    <cfRule type="cellIs" dxfId="0" priority="1" operator="greaterThan">
      <formula>$W$60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solver">
                <anchor moveWithCells="1" sizeWithCells="1">
                  <from>
                    <xdr:col>17</xdr:col>
                    <xdr:colOff>85725</xdr:colOff>
                    <xdr:row>2</xdr:row>
                    <xdr:rowOff>123825</xdr:rowOff>
                  </from>
                  <to>
                    <xdr:col>20</xdr:col>
                    <xdr:colOff>614363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KEY</vt:lpstr>
      <vt:lpstr>SSAT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Callaghan</dc:creator>
  <cp:lastModifiedBy>Ansley Brown</cp:lastModifiedBy>
  <dcterms:created xsi:type="dcterms:W3CDTF">2019-05-01T21:43:57Z</dcterms:created>
  <dcterms:modified xsi:type="dcterms:W3CDTF">2020-01-11T00:12:34Z</dcterms:modified>
</cp:coreProperties>
</file>